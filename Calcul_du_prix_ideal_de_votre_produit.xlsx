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ltraBook 3.0\Desktop\Backup\Création AI\Guides\Prix produit\"/>
    </mc:Choice>
  </mc:AlternateContent>
  <xr:revisionPtr revIDLastSave="0" documentId="13_ncr:1_{2928D044-AA6D-4D13-9431-79EF37D29D6F}" xr6:coauthVersionLast="47" xr6:coauthVersionMax="47" xr10:uidLastSave="{00000000-0000-0000-0000-000000000000}"/>
  <workbookProtection workbookAlgorithmName="SHA-512" workbookHashValue="trw4KQJQM1C3MijEzRf38C8Yz3AAlpk4Il+RjgwGzZNPc1hrjfFqbCygG5Ry/EjpyE+tU3nk4eP4P9Kay0bH5Q==" workbookSaltValue="yQiv+o9gjZE9sXZaNWlziw==" workbookSpinCount="100000" lockStructure="1"/>
  <bookViews>
    <workbookView xWindow="-120" yWindow="-120" windowWidth="29040" windowHeight="15840" tabRatio="500" xr2:uid="{00000000-000D-0000-FFFF-FFFF00000000}"/>
  </bookViews>
  <sheets>
    <sheet name="Calcul du prix idéal" sheetId="1" r:id="rId1"/>
    <sheet name="Matières premières" sheetId="3" r:id="rId2"/>
    <sheet name="Coût de production" sheetId="4" r:id="rId3"/>
    <sheet name="Frais de personnel" sheetId="5" r:id="rId4"/>
    <sheet name="Communication" sheetId="6" r:id="rId5"/>
    <sheet name="Administratif" sheetId="7" r:id="rId6"/>
    <sheet name="Logistique" sheetId="8" r:id="rId7"/>
    <sheet name="Temps" sheetId="9" r:id="rId8"/>
    <sheet name="Autres" sheetId="10" r:id="rId9"/>
    <sheet name="Bilan" sheetId="12" r:id="rId10"/>
    <sheet name="Unités" sheetId="2" r:id="rId11"/>
  </sheets>
  <definedNames>
    <definedName name="AD">Administratif!$F$49</definedName>
    <definedName name="AU">Autres!$F$62</definedName>
    <definedName name="CO">Communication!$F$58</definedName>
    <definedName name="CP">'Coût de production'!$F$67</definedName>
    <definedName name="FP">'Frais de personnel'!$F$40</definedName>
    <definedName name="LO">Logistique!$F$49</definedName>
    <definedName name="MA">'Calcul du prix idéal'!$B$9</definedName>
    <definedName name="MP">'Matières premières'!$F$49</definedName>
    <definedName name="NB">'Calcul du prix idéal'!$B$8</definedName>
    <definedName name="TE">Temps!$F$22</definedName>
    <definedName name="Unites">Unités!$A$1:$A$100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F15" i="3" l="1"/>
  <c r="C4" i="12"/>
  <c r="C3" i="12"/>
  <c r="A9" i="12" s="1"/>
  <c r="F48" i="3"/>
  <c r="F46" i="3"/>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4" i="10"/>
  <c r="F5" i="9"/>
  <c r="F6" i="9"/>
  <c r="F7" i="9"/>
  <c r="F8" i="9"/>
  <c r="F9" i="9"/>
  <c r="F10" i="9"/>
  <c r="F11" i="9"/>
  <c r="F12" i="9"/>
  <c r="F13" i="9"/>
  <c r="F14" i="9"/>
  <c r="F15" i="9"/>
  <c r="F16" i="9"/>
  <c r="F17" i="9"/>
  <c r="F18" i="9"/>
  <c r="F19" i="9"/>
  <c r="F20" i="9"/>
  <c r="F21" i="9"/>
  <c r="F4" i="9"/>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 i="8"/>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 i="7"/>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4" i="6"/>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 i="5"/>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4" i="4"/>
  <c r="F4" i="3"/>
  <c r="F5" i="3"/>
  <c r="F6" i="3"/>
  <c r="F7" i="3"/>
  <c r="F8" i="3"/>
  <c r="F9" i="3"/>
  <c r="F10" i="3"/>
  <c r="F11" i="3"/>
  <c r="F12" i="3"/>
  <c r="F13" i="3"/>
  <c r="F14"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7" i="3"/>
  <c r="F62" i="10" l="1"/>
  <c r="F22" i="9"/>
  <c r="F49" i="8"/>
  <c r="F49" i="7"/>
  <c r="F58" i="6"/>
  <c r="F40" i="5"/>
  <c r="F67" i="4"/>
  <c r="A12" i="12"/>
  <c r="A6" i="12"/>
  <c r="C6" i="12"/>
  <c r="C9" i="12" s="1"/>
  <c r="C12" i="12" s="1"/>
  <c r="F49" i="3"/>
  <c r="C7" i="12" l="1"/>
  <c r="C10" i="12" s="1"/>
  <c r="C13"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C4289441-D657-457A-84B2-0E0463C13FD5}">
      <text>
        <r>
          <rPr>
            <b/>
            <sz val="9"/>
            <color indexed="81"/>
            <rFont val="Tahoma"/>
            <family val="2"/>
          </rPr>
          <t>Description de la ressource</t>
        </r>
      </text>
    </comment>
    <comment ref="B3" authorId="0" shapeId="0" xr:uid="{3D5B0EDA-AB36-47DC-8ED0-82E40C7B046A}">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10350DEB-5CFB-46BA-9ECF-BC4E998842FE}">
      <text>
        <r>
          <rPr>
            <b/>
            <sz val="9"/>
            <color indexed="81"/>
            <rFont val="Tahoma"/>
            <family val="2"/>
          </rPr>
          <t>Prix pour une unité
Ex : Si l'unité est le Kg, prix pour 1 Kg de cette ressource.</t>
        </r>
      </text>
    </comment>
    <comment ref="D3" authorId="0" shapeId="0" xr:uid="{3538C4BE-FE9F-41B5-8853-8063868E5C8D}">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2ACE8F3F-729B-41F6-984D-A26900774C1A}">
      <text>
        <r>
          <rPr>
            <b/>
            <sz val="9"/>
            <color indexed="81"/>
            <rFont val="Tahoma"/>
            <family val="2"/>
          </rPr>
          <t>Quantité nécessaire pour cette ressource.
Ex : 50 si 50 Kg est nécessaire à cette ressource.</t>
        </r>
      </text>
    </comment>
    <comment ref="F3" authorId="0" shapeId="0" xr:uid="{4DDD4326-FE97-46FC-9A7F-110F9D52486E}">
      <text>
        <r>
          <rPr>
            <b/>
            <sz val="9"/>
            <color indexed="81"/>
            <rFont val="Tahoma"/>
            <family val="2"/>
          </rPr>
          <t>Prix total pour cette ressource.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CE416900-702F-42C8-BF62-2BD130A39B17}">
      <text>
        <r>
          <rPr>
            <b/>
            <sz val="9"/>
            <color indexed="81"/>
            <rFont val="Tahoma"/>
            <family val="2"/>
          </rPr>
          <t>Description de la ressource</t>
        </r>
      </text>
    </comment>
    <comment ref="B3" authorId="0" shapeId="0" xr:uid="{471A38D2-8E8A-494C-9269-C61952D64559}">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9828BB2E-0455-441D-AFFA-707766CD888C}">
      <text>
        <r>
          <rPr>
            <b/>
            <sz val="9"/>
            <color indexed="81"/>
            <rFont val="Tahoma"/>
            <family val="2"/>
          </rPr>
          <t>Prix pour une unité
Ex : Si l'unité est le Kg, prix pour 1 Kg de cette ressource.</t>
        </r>
      </text>
    </comment>
    <comment ref="D3" authorId="0" shapeId="0" xr:uid="{FEF5E16C-5B5E-450A-81CB-E432C4F83EBE}">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7FC2CA91-9723-46F5-9860-E90D9FED51A8}">
      <text>
        <r>
          <rPr>
            <b/>
            <sz val="9"/>
            <color indexed="81"/>
            <rFont val="Tahoma"/>
            <family val="2"/>
          </rPr>
          <t>Quantité nécessaire pour cette ressource.
Ex : 50 si 50 Kg est nécessaire à cette ressource.</t>
        </r>
      </text>
    </comment>
    <comment ref="F3" authorId="0" shapeId="0" xr:uid="{BF28F4B9-D007-4051-85AA-C45D260D7537}">
      <text>
        <r>
          <rPr>
            <b/>
            <sz val="9"/>
            <color indexed="81"/>
            <rFont val="Tahoma"/>
            <family val="2"/>
          </rPr>
          <t>Prix total pour cette ressource.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FD0B10A1-9C9D-45F4-AEDC-A487C769D1A7}">
      <text>
        <r>
          <rPr>
            <b/>
            <sz val="9"/>
            <color indexed="81"/>
            <rFont val="Tahoma"/>
            <family val="2"/>
          </rPr>
          <t>Description de la ressource</t>
        </r>
      </text>
    </comment>
    <comment ref="B3" authorId="0" shapeId="0" xr:uid="{B064832C-5CAD-40CA-B28A-17F441D5C15A}">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EA03BCC6-2966-4B2A-B2BB-7F9384FF7066}">
      <text>
        <r>
          <rPr>
            <b/>
            <sz val="9"/>
            <color indexed="81"/>
            <rFont val="Tahoma"/>
            <family val="2"/>
          </rPr>
          <t>Prix pour une unité
Ex : Si l'unité est le Kg, prix pour 1 Kg de cette ressource.</t>
        </r>
      </text>
    </comment>
    <comment ref="D3" authorId="0" shapeId="0" xr:uid="{B6FDD873-0BC0-4526-94E7-4F6C9721D386}">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3D6D7EA3-C002-4054-91BD-97FC65D7E3B7}">
      <text>
        <r>
          <rPr>
            <b/>
            <sz val="9"/>
            <color indexed="81"/>
            <rFont val="Tahoma"/>
            <family val="2"/>
          </rPr>
          <t>Quantité nécessaire pour cette ressource.
Ex : 50 si 50 Kg est nécessaire à cette ressource.</t>
        </r>
      </text>
    </comment>
    <comment ref="F3" authorId="0" shapeId="0" xr:uid="{54EBCF53-64A7-4403-A160-949B4E54CC33}">
      <text>
        <r>
          <rPr>
            <b/>
            <sz val="9"/>
            <color indexed="81"/>
            <rFont val="Tahoma"/>
            <family val="2"/>
          </rPr>
          <t>Prix total pour cette ressource.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13562D52-19C3-465F-8109-C800ED7F81B6}">
      <text>
        <r>
          <rPr>
            <b/>
            <sz val="9"/>
            <color indexed="81"/>
            <rFont val="Tahoma"/>
            <family val="2"/>
          </rPr>
          <t>Description de la ressource</t>
        </r>
      </text>
    </comment>
    <comment ref="B3" authorId="0" shapeId="0" xr:uid="{B82F7939-9E3C-4AF3-AF55-4B954BED6885}">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68E66B10-A278-47EB-A24C-74237ECA1657}">
      <text>
        <r>
          <rPr>
            <b/>
            <sz val="9"/>
            <color indexed="81"/>
            <rFont val="Tahoma"/>
            <family val="2"/>
          </rPr>
          <t>Prix pour une unité
Ex : Si l'unité est le Kg, prix pour 1 Kg de cette ressource.</t>
        </r>
      </text>
    </comment>
    <comment ref="D3" authorId="0" shapeId="0" xr:uid="{53381167-2E66-4B17-9DDE-FFC7D5D13196}">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611DCFE7-9FE3-4D07-86E9-4BB42E13D496}">
      <text>
        <r>
          <rPr>
            <b/>
            <sz val="9"/>
            <color indexed="81"/>
            <rFont val="Tahoma"/>
            <family val="2"/>
          </rPr>
          <t>Quantité nécessaire pour cette ressource.
Ex : 50 si 50 Kg est nécessaire à cette ressource.</t>
        </r>
      </text>
    </comment>
    <comment ref="F3" authorId="0" shapeId="0" xr:uid="{2E5D92E2-44D8-472C-8636-AF32438E55D4}">
      <text>
        <r>
          <rPr>
            <b/>
            <sz val="9"/>
            <color indexed="81"/>
            <rFont val="Tahoma"/>
            <family val="2"/>
          </rPr>
          <t>Prix total pour cette ressource.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B2C5D0F4-D4DC-4F5E-B0CA-5B1647A1A303}">
      <text>
        <r>
          <rPr>
            <b/>
            <sz val="9"/>
            <color indexed="81"/>
            <rFont val="Tahoma"/>
            <family val="2"/>
          </rPr>
          <t>Description de la ressource</t>
        </r>
      </text>
    </comment>
    <comment ref="B3" authorId="0" shapeId="0" xr:uid="{17794040-C20D-4D7C-8C22-BCF53E9B11B3}">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9AF8308C-79DD-4B2D-9B4F-37989404227A}">
      <text>
        <r>
          <rPr>
            <b/>
            <sz val="9"/>
            <color indexed="81"/>
            <rFont val="Tahoma"/>
            <family val="2"/>
          </rPr>
          <t>Prix pour une unité
Ex : Si l'unité est le Kg, prix pour 1 Kg de cette ressource.</t>
        </r>
      </text>
    </comment>
    <comment ref="D3" authorId="0" shapeId="0" xr:uid="{DB1057CE-390E-4D53-9F08-0CF3946C86C0}">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365D54CB-6BCA-4719-9563-269A7F18B4CB}">
      <text>
        <r>
          <rPr>
            <b/>
            <sz val="9"/>
            <color indexed="81"/>
            <rFont val="Tahoma"/>
            <family val="2"/>
          </rPr>
          <t>Quantité nécessaire pour cette ressource.
Ex : 50 si 50 Kg est nécessaire à cette ressource.</t>
        </r>
      </text>
    </comment>
    <comment ref="F3" authorId="0" shapeId="0" xr:uid="{88734FC6-A95E-4F35-B2D2-EBF712B1E933}">
      <text>
        <r>
          <rPr>
            <b/>
            <sz val="9"/>
            <color indexed="81"/>
            <rFont val="Tahoma"/>
            <family val="2"/>
          </rPr>
          <t>Prix total pour cette ressource.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ABB7BB78-0312-40D4-9C2D-AE33D737308B}">
      <text>
        <r>
          <rPr>
            <b/>
            <sz val="9"/>
            <color indexed="81"/>
            <rFont val="Tahoma"/>
            <family val="2"/>
          </rPr>
          <t>Description de la ressource</t>
        </r>
      </text>
    </comment>
    <comment ref="B3" authorId="0" shapeId="0" xr:uid="{2B316189-BA37-45CF-9815-AFE691BD5C77}">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D5CF95B6-0DBC-45BF-98DD-9B1A40351CF2}">
      <text>
        <r>
          <rPr>
            <b/>
            <sz val="9"/>
            <color indexed="81"/>
            <rFont val="Tahoma"/>
            <family val="2"/>
          </rPr>
          <t>Prix pour une unité
Ex : Si l'unité est le Kg, prix pour 1 Kg de cette ressource.</t>
        </r>
      </text>
    </comment>
    <comment ref="D3" authorId="0" shapeId="0" xr:uid="{4ECCB1F3-0566-4D76-A576-C577DE16B82F}">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F275AD56-20C8-4522-8112-65AE31958F8B}">
      <text>
        <r>
          <rPr>
            <b/>
            <sz val="9"/>
            <color indexed="81"/>
            <rFont val="Tahoma"/>
            <family val="2"/>
          </rPr>
          <t>Quantité nécessaire pour cette ressource.
Ex : 50 si 50 Kg est nécessaire à cette ressource.</t>
        </r>
      </text>
    </comment>
    <comment ref="F3" authorId="0" shapeId="0" xr:uid="{144E6615-6A73-4C91-A0C2-523A4E754046}">
      <text>
        <r>
          <rPr>
            <b/>
            <sz val="9"/>
            <color indexed="81"/>
            <rFont val="Tahoma"/>
            <family val="2"/>
          </rPr>
          <t>Prix total pour cette ressource.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3F1677AE-945D-4A9D-855D-8D36F6D41FE2}">
      <text>
        <r>
          <rPr>
            <b/>
            <sz val="9"/>
            <color indexed="81"/>
            <rFont val="Tahoma"/>
            <family val="2"/>
          </rPr>
          <t>Description de la ressource</t>
        </r>
      </text>
    </comment>
    <comment ref="B3" authorId="0" shapeId="0" xr:uid="{BCF45A15-A40A-4FCA-ABC2-67912FE032C6}">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D8A492E3-B1BE-404E-9C3E-34180B779B3B}">
      <text>
        <r>
          <rPr>
            <b/>
            <sz val="9"/>
            <color indexed="81"/>
            <rFont val="Tahoma"/>
            <family val="2"/>
          </rPr>
          <t>Prix pour une unité
Ex : Si l'unité est le Kg, prix pour 1 Kg de cette ressource.</t>
        </r>
      </text>
    </comment>
    <comment ref="D3" authorId="0" shapeId="0" xr:uid="{B9D42679-0E0F-4450-9C80-09AC9D432BB5}">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962425BB-C4B5-4680-B91F-982F214CA27A}">
      <text>
        <r>
          <rPr>
            <b/>
            <sz val="9"/>
            <color indexed="81"/>
            <rFont val="Tahoma"/>
            <family val="2"/>
          </rPr>
          <t>Quantité nécessaire pour cette ressource.
Ex : 50 si 50 Kg est nécessaire à cette ressource.</t>
        </r>
      </text>
    </comment>
    <comment ref="F3" authorId="0" shapeId="0" xr:uid="{0A781598-6462-4794-932E-9EF7D16471CC}">
      <text>
        <r>
          <rPr>
            <b/>
            <sz val="9"/>
            <color indexed="81"/>
            <rFont val="Tahoma"/>
            <family val="2"/>
          </rPr>
          <t>Prix total pour cette ressource.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UltraBook 3.0</author>
  </authors>
  <commentList>
    <comment ref="A3" authorId="0" shapeId="0" xr:uid="{CB4375ED-D714-47AB-8E3C-4579C4CD39FD}">
      <text>
        <r>
          <rPr>
            <b/>
            <sz val="9"/>
            <color indexed="81"/>
            <rFont val="Tahoma"/>
            <family val="2"/>
          </rPr>
          <t>Description de la ressource</t>
        </r>
      </text>
    </comment>
    <comment ref="B3" authorId="0" shapeId="0" xr:uid="{30177567-D45B-4B7C-B62E-DF73F2B143D6}">
      <text>
        <r>
          <rPr>
            <b/>
            <sz val="9"/>
            <color indexed="81"/>
            <rFont val="Tahoma"/>
            <charset val="1"/>
          </rPr>
          <t>Mesure utilisée pour quantifier un coût ou une ressource (kg, litre, heure, pièce, mètre, etc.).</t>
        </r>
        <r>
          <rPr>
            <sz val="9"/>
            <color indexed="81"/>
            <rFont val="Tahoma"/>
            <charset val="1"/>
          </rPr>
          <t xml:space="preserve">
</t>
        </r>
      </text>
    </comment>
    <comment ref="C3" authorId="0" shapeId="0" xr:uid="{8B3B7B29-1AC1-4FDC-BEEB-0072C6261422}">
      <text>
        <r>
          <rPr>
            <b/>
            <sz val="9"/>
            <color indexed="81"/>
            <rFont val="Tahoma"/>
            <family val="2"/>
          </rPr>
          <t>Prix pour une unité
Ex : Si l'unité est le Kg, prix pour 1 Kg de cette ressource.</t>
        </r>
      </text>
    </comment>
    <comment ref="D3" authorId="0" shapeId="0" xr:uid="{17F9CBE3-F531-463F-A420-65EB267A77FE}">
      <text>
        <r>
          <rPr>
            <b/>
            <sz val="6"/>
            <color indexed="81"/>
            <rFont val="Calibri"/>
            <family val="2"/>
          </rPr>
          <t xml:space="preserve">Si votre ressource est une machine qui coûte 1.200 €.
Si la durée de vie de cette machine est estimée à 4 ans.
Si chaque année, vous fabriquez 1.000 produits.
Cela signifie que votre machine est capable de produire 4.000 produits durant sa durée de vie.
</t>
        </r>
        <r>
          <rPr>
            <b/>
            <u/>
            <sz val="6"/>
            <color indexed="81"/>
            <rFont val="Calibri"/>
            <family val="2"/>
          </rPr>
          <t>Indiquez alors :</t>
        </r>
        <r>
          <rPr>
            <b/>
            <sz val="6"/>
            <color indexed="81"/>
            <rFont val="Calibri"/>
            <family val="2"/>
          </rPr>
          <t xml:space="preserve">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t>
        </r>
        <r>
          <rPr>
            <b/>
            <u/>
            <sz val="6"/>
            <color indexed="81"/>
            <rFont val="Calibri"/>
            <family val="2"/>
          </rPr>
          <t>Indiquez alors :</t>
        </r>
        <r>
          <rPr>
            <b/>
            <sz val="6"/>
            <color indexed="81"/>
            <rFont val="Calibri"/>
            <family val="2"/>
          </rPr>
          <t xml:space="preserve">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t>
        </r>
        <r>
          <rPr>
            <b/>
            <u/>
            <sz val="6"/>
            <color indexed="81"/>
            <rFont val="Calibri"/>
            <family val="2"/>
          </rPr>
          <t>Indiquez alors :</t>
        </r>
        <r>
          <rPr>
            <b/>
            <sz val="6"/>
            <color indexed="81"/>
            <rFont val="Calibri"/>
            <family val="2"/>
          </rPr>
          <t xml:space="preserve">
Unité : Mois
Prix unitaire : 97
Amortissement : 1/250 (= un deux cent cinquantième)
Quantité : la même quantité que choisie au départ pour "Calcul basé sur la production de X produits" (ex : 1 ou 100 ou 1000)</t>
        </r>
      </text>
    </comment>
    <comment ref="E3" authorId="0" shapeId="0" xr:uid="{7C8BADA3-0FAD-4050-A97C-E015AF124085}">
      <text>
        <r>
          <rPr>
            <b/>
            <sz val="9"/>
            <color indexed="81"/>
            <rFont val="Tahoma"/>
            <family val="2"/>
          </rPr>
          <t>Quantité nécessaire pour cette ressource.
Ex : 50 si 50 Kg est nécessaire à cette ressource.</t>
        </r>
      </text>
    </comment>
    <comment ref="F3" authorId="0" shapeId="0" xr:uid="{E9AF9EE3-7B92-48FA-A7F6-2E9D96FE686B}">
      <text>
        <r>
          <rPr>
            <b/>
            <sz val="9"/>
            <color indexed="81"/>
            <rFont val="Tahoma"/>
            <family val="2"/>
          </rPr>
          <t>Prix total pour cette ressource.</t>
        </r>
      </text>
    </comment>
  </commentList>
</comments>
</file>

<file path=xl/sharedStrings.xml><?xml version="1.0" encoding="utf-8"?>
<sst xmlns="http://schemas.openxmlformats.org/spreadsheetml/2006/main" count="548" uniqueCount="135">
  <si>
    <t>Désignation</t>
  </si>
  <si>
    <t>Unité</t>
  </si>
  <si>
    <t>Prix unitaire</t>
  </si>
  <si>
    <t>Amortissement</t>
  </si>
  <si>
    <t>Qté</t>
  </si>
  <si>
    <t>Total</t>
  </si>
  <si>
    <t>1. Coût des matières premières et consommables</t>
  </si>
  <si>
    <t>2. Coût de production / infrastructure</t>
  </si>
  <si>
    <t>3. Frais de personnel</t>
  </si>
  <si>
    <t>4. Marketing et communication</t>
  </si>
  <si>
    <t>5. Frais administratifs et financiers</t>
  </si>
  <si>
    <t>6. Frais de logistique et transport</t>
  </si>
  <si>
    <t>7. Coût du temps / expertise</t>
  </si>
  <si>
    <t>8. Autres frais possibles</t>
  </si>
  <si>
    <t>Matières premières directes (bois, sucre, plantes, métal… selon ton produit)</t>
  </si>
  <si>
    <t>Emballages (boîtes, sachets, bouteilles, étiquettes)</t>
  </si>
  <si>
    <t>Petits consommables (coton, fil, papier, visserie, gants, rubans…)</t>
  </si>
  <si>
    <t>Produits chimiques ou additifs</t>
  </si>
  <si>
    <t>Produits d’entretien liés à la production</t>
  </si>
  <si>
    <t>Énergie : électricité, gaz, carburant, eau</t>
  </si>
  <si>
    <t>Amortissement des machines, outils, véhicules</t>
  </si>
  <si>
    <t>Amortissement de l’ordinateur, logiciels, matériel bureautique</t>
  </si>
  <si>
    <t>Maintenance et réparations (machines, véhicule, bâtiment)</t>
  </si>
  <si>
    <t>Location ou crédit du local / atelier / stockage</t>
  </si>
  <si>
    <t>Entretien du local (ménage, sécurité, poubelles, etc.)</t>
  </si>
  <si>
    <t>Assurance du local et des équipements</t>
  </si>
  <si>
    <t>Salaires et charges sociales</t>
  </si>
  <si>
    <t>Cotisations retraite / sécurité sociale</t>
  </si>
  <si>
    <t>Avantages (repas, transport, formation, primes)</t>
  </si>
  <si>
    <t>Freelances ou sous-traitants</t>
  </si>
  <si>
    <t>Création et maintenance site internet</t>
  </si>
  <si>
    <t>Abonnements logiciels marketing (emailing, CRM, graphisme…)</t>
  </si>
  <si>
    <t>Publicité : réseaux sociaux, Google Ads, presse, flyers, affiches</t>
  </si>
  <si>
    <t>Cartes de visite, brochures, flyers</t>
  </si>
  <si>
    <t>Shooting photo, vidéo, contenu visuel</t>
  </si>
  <si>
    <t>Événements promotionnels, salons, foires</t>
  </si>
  <si>
    <t>Comptabilité / expert-comptable</t>
  </si>
  <si>
    <t>Logiciels de comptabilité et gestion</t>
  </si>
  <si>
    <t>Banque / frais de transaction / commission paiement en ligne</t>
  </si>
  <si>
    <t>Impôts et taxes : TVA, CFE, impôt sur les sociétés, taxes locales</t>
  </si>
  <si>
    <t>Licences, certifications, permis éventuels</t>
  </si>
  <si>
    <t>Déplacements professionnels (voiture, taxi, train, avion)</t>
  </si>
  <si>
    <t>Transport des matières premières</t>
  </si>
  <si>
    <t>Livraison des produits aux clients</t>
  </si>
  <si>
    <t>Stockage et entreposage</t>
  </si>
  <si>
    <t>Pertes, vol, casse</t>
  </si>
  <si>
    <t>Ton propre salaire ou valeur de ton temps (heures passées à produire, gérer, vendre, communiquer…)</t>
  </si>
  <si>
    <t>Formation, apprentissage, mise à jour des compétences</t>
  </si>
  <si>
    <t>Frais légaux : avocat, contrat, CGV</t>
  </si>
  <si>
    <t>Retours clients / SAV</t>
  </si>
  <si>
    <t>Perte sur produits invendus ou promotions</t>
  </si>
  <si>
    <t xml:space="preserve">Frais bancaires internationaux / change si export </t>
  </si>
  <si>
    <t>Autres frais 1</t>
  </si>
  <si>
    <t>Autres frais 2</t>
  </si>
  <si>
    <t>Autres frais 3</t>
  </si>
  <si>
    <t>Autres frais 4</t>
  </si>
  <si>
    <t>Autres frais 5</t>
  </si>
  <si>
    <t>Autres frais 6</t>
  </si>
  <si>
    <t>Autres frais 7</t>
  </si>
  <si>
    <t>Autres frais 8</t>
  </si>
  <si>
    <t>Autres frais 9</t>
  </si>
  <si>
    <t>Autres frais 10</t>
  </si>
  <si>
    <t>Poids → kg</t>
  </si>
  <si>
    <t>Poids → g</t>
  </si>
  <si>
    <t>Poids → tonne</t>
  </si>
  <si>
    <t>Volume → litre</t>
  </si>
  <si>
    <t>Volume → millilitre</t>
  </si>
  <si>
    <t>Volume → centilitre</t>
  </si>
  <si>
    <t>Volume → m³</t>
  </si>
  <si>
    <t>Longueur → mètre</t>
  </si>
  <si>
    <t>Longueur → centimètre</t>
  </si>
  <si>
    <t>Longueur → millimètre</t>
  </si>
  <si>
    <t>Surface → m²</t>
  </si>
  <si>
    <t>Surface → cm²</t>
  </si>
  <si>
    <t>Quantité → unité</t>
  </si>
  <si>
    <t>Quantité → pièce</t>
  </si>
  <si>
    <t>Quantité → article</t>
  </si>
  <si>
    <t>Quantité → lot</t>
  </si>
  <si>
    <t>Quantité → pack</t>
  </si>
  <si>
    <t>Emballage → bouteille</t>
  </si>
  <si>
    <t>Emballage → sachet</t>
  </si>
  <si>
    <t>Emballage → boîte</t>
  </si>
  <si>
    <t>Emballage → carton</t>
  </si>
  <si>
    <t>Emballage → bidon</t>
  </si>
  <si>
    <t>Emballage → pot</t>
  </si>
  <si>
    <t>Emballage → barquette</t>
  </si>
  <si>
    <t>Emballage → rouleau</t>
  </si>
  <si>
    <t>Emballage → palette</t>
  </si>
  <si>
    <t>Emballage → caisse</t>
  </si>
  <si>
    <t>Matériau → feuille</t>
  </si>
  <si>
    <t>Matériau → plaque</t>
  </si>
  <si>
    <t>Matériau → planche</t>
  </si>
  <si>
    <t>Matériau → barre</t>
  </si>
  <si>
    <t>Matériau → tige</t>
  </si>
  <si>
    <t>Matériau → panneau</t>
  </si>
  <si>
    <t>Temps → minute</t>
  </si>
  <si>
    <t>Temps → heure</t>
  </si>
  <si>
    <t>Temps → jour</t>
  </si>
  <si>
    <t>Temps → semaine</t>
  </si>
  <si>
    <t>Temps → mois</t>
  </si>
  <si>
    <t>Temps → année</t>
  </si>
  <si>
    <t>Travail → heure de travail</t>
  </si>
  <si>
    <t>Travail → jour homme</t>
  </si>
  <si>
    <t>Travail → mission</t>
  </si>
  <si>
    <t>Travail → prestation</t>
  </si>
  <si>
    <t>Énergie → kWh</t>
  </si>
  <si>
    <t>Énergie → litre carburant</t>
  </si>
  <si>
    <t>Énergie → m³ eau</t>
  </si>
  <si>
    <t>Transport → km</t>
  </si>
  <si>
    <t>Transport → trajet</t>
  </si>
  <si>
    <t>Transport → livraison</t>
  </si>
  <si>
    <t>Administration → abonnement</t>
  </si>
  <si>
    <t>Administration → licence</t>
  </si>
  <si>
    <t>Administration → contrat</t>
  </si>
  <si>
    <t>Administration → dossier</t>
  </si>
  <si>
    <t>Marketing → campagne</t>
  </si>
  <si>
    <t>Marketing → publication</t>
  </si>
  <si>
    <t>Marketing → visuel</t>
  </si>
  <si>
    <t>Marketing → shooting photo</t>
  </si>
  <si>
    <t>Marketing → événement</t>
  </si>
  <si>
    <t>Divers → autre</t>
  </si>
  <si>
    <t>Unités</t>
  </si>
  <si>
    <t>Calcul basé sur la production de</t>
  </si>
  <si>
    <t>Calcul du juste prix de votre produit</t>
  </si>
  <si>
    <t>Marge appliquée</t>
  </si>
  <si>
    <t>Bilan</t>
  </si>
  <si>
    <t>Sous-total</t>
  </si>
  <si>
    <t>Marge</t>
  </si>
  <si>
    <t>Coût de revient pour 1 produit</t>
  </si>
  <si>
    <t>Prix idéal pour 1 produit</t>
  </si>
  <si>
    <t>Marge brute pour 1 produit vendu</t>
  </si>
  <si>
    <t>ATTENTION ! La colonne "Amortissement" fonctionne ainsi :
Si votre ressource est une machine qui coûte 1.200 €.
Si la durée de vie de cette machine est estimée à 4 ans.
Si chaque année, vous fabriquez 1.000 produits.
Cela signifie que votre machine est capable de produire 4.000 produits durant sa durée de vie.
Indiquez alors :
Unité : Unité (ou Autre)
Prix unitaire : 1200
Amortissement : 1/4000 (= un quatre millième)
Quantité : la même quantité que choisie au départ pour "Calcul basé sur la production de X produits" (ex : 1 ou 100 ou 1000)
De la même manière, si votre ressource est une matière première, comme 1 Kg de sucre à 1.5 € (par ex.), et que vous pouvez produire 125 produits.
Indiquez alors :
Unité : Kg
Prix unitaire : 1.5
Amortissement : 1/125 (= un cent-vingt-cinquème)
Quantité : la même quantité que choisie au départ pour "Calcul basé sur la production de X produits" (ex : 1 ou 100 ou 1000)
Pour toute ressource mensuelle ou annuelle, faites de même.
Ex : Assurance mensuelle de 97 € / mois, production mensuelle de 250 produits.
Indiquez alors :
Unité : Mois
Prix unitaire : 97
Amortissement : 1/250 (= un deux cent cinquantième)
Quantité : la même quantité que choisie au départ pour "Calcul basé sur la production de X produits" (ex : 1 ou 100 ou 1000)</t>
  </si>
  <si>
    <t>produit(s).</t>
  </si>
  <si>
    <t>Calcul basé sur la production de X produit(s)  - X =</t>
  </si>
  <si>
    <t>Bienvenue dans ce fichier Excel qui vous permettra de calculer le prix idéal de votre produit ou service.
!!! IMPORTANT !!! Commencez par faire une copie de ce fichier en cliquant sur "Fichier / Enregistrer sous..." afin de garantir que vous gardiez une copie "intacte" de ce fichier en cas d'erreur ou pour le calcul de plusieurs prix.
Vous allez être amené à renseigner tous les coûts liés à la production de votre produit ou de votre service.
Les différents postes de dépenses se trouvent dans les différentes feuilles de ce fichier (les feuilles se situent tout en bas de cette fenêtre).
Nous vous invitons à passer en revue ces différentes feuilles afin d'avoir une vue d'ensemble des informations nécessaires avant de commencer à renseigner les différents coûts.
Ces feuilles contiennent de très nombreuses lignes car d'abord, ce fichier Excel se veut générique et il faut donc prévoir chaque cas possible. Ensuite, pour vous permettre de détailler aux vos coûts. Mais vous n'êtes pas obligé de remplir chacune de ces lignes : 1 seule ligne remplie donne déjà des résultats dans la feuille nommée "Bilan".
Il est important de comprendre que plus vous serez précis sur les coûts de production et plus vous les détaillerez, plus le calcul du prix de votre produit sera fiable.
La feuille "Unités" vous permet de renseigner, si nécessaire, de nouvelles unités, mais sachez que cette information n'est qu'indicative. Elle n'intervient pas dans les calculs du prix de votre produit.
Avant de commencer à remplir les différents coûts de production, merci de renseigner ci-dessous les deux informations OBLIGATOIRES pour le calcul du prix de votre produit.
D'abord, lorsque vous allez renseigner vos différents coûts de production, il peut être intéressant ou plus facile pour vous de les indiquer pour un "batch" de 100 ou 1.000 produits par exemple plutôt que pour 1 seul produit. Veuillez donc indiquer ci-dessous, la taille de vos "batch".
Ensuite, merci d'indiquer la marge envisagée sur la vente de vos produits. Nous vous conseillons une marge minimale de 20 à 30 %.
Vous ne pouvez modifier que les cases jaunes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</si>
</sst>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numFmt numFmtId="165" formatCode="#,##0.00\ _€;[Red]\-#,##0.00\ _€"/>
    <numFmt numFmtId="166" formatCode="0_ ;[Red]\-0\ "/>
    <numFmt numFmtId="167" formatCode="#,##0_ ;[Red]\-#,##0\ "/>
  </numFmts>
  <fonts count="16" x14ac:knownFonts="1">
    <font>
      <sz val="10"/>
      <name val="Arial"/>
      <family val="2"/>
    </font>
    <font>
      <sz val="8"/>
      <name val="Arial"/>
      <family val="2"/>
    </font>
    <font>
      <sz val="9"/>
      <color indexed="81"/>
      <name val="Tahoma"/>
      <charset val="1"/>
    </font>
    <font>
      <b/>
      <sz val="9"/>
      <color indexed="81"/>
      <name val="Tahoma"/>
      <charset val="1"/>
    </font>
    <font>
      <b/>
      <sz val="9"/>
      <color indexed="81"/>
      <name val="Tahoma"/>
      <family val="2"/>
    </font>
    <font>
      <b/>
      <sz val="6"/>
      <color indexed="81"/>
      <name val="Calibri"/>
      <family val="2"/>
    </font>
    <font>
      <b/>
      <u/>
      <sz val="6"/>
      <color indexed="81"/>
      <name val="Calibri"/>
      <family val="2"/>
    </font>
    <font>
      <sz val="7"/>
      <name val="Calibri"/>
      <family val="2"/>
    </font>
    <font>
      <b/>
      <sz val="7"/>
      <name val="Calibri"/>
      <family val="2"/>
    </font>
    <font>
      <b/>
      <sz val="8"/>
      <name val="Calibri"/>
      <family val="2"/>
    </font>
    <font>
      <b/>
      <sz val="12"/>
      <name val="Calibri"/>
      <family val="2"/>
    </font>
    <font>
      <b/>
      <sz val="14"/>
      <name val="Calibri"/>
      <family val="2"/>
    </font>
    <font>
      <b/>
      <sz val="28"/>
      <name val="Calibri"/>
      <family val="2"/>
    </font>
    <font>
      <sz val="8"/>
      <name val="Calibri"/>
      <family val="2"/>
    </font>
    <font>
      <sz val="14"/>
      <name val="Calibri"/>
      <family val="2"/>
    </font>
    <font>
      <b/>
      <sz val="28"/>
      <color rgb="FFFFC000"/>
      <name val="Calibri"/>
      <family val="2"/>
    </font>
  </fonts>
  <fills count="7">
    <fill>
      <patternFill patternType="none"/>
    </fill>
    <fill>
      <patternFill patternType="gray125"/>
    </fill>
    <fill>
      <patternFill patternType="solid">
        <fgColor rgb="FFFFBF00"/>
        <bgColor rgb="FFFF9900"/>
      </patternFill>
    </fill>
    <fill>
      <patternFill patternType="solid">
        <fgColor rgb="FFFFFF00"/>
        <bgColor indexed="64"/>
      </patternFill>
    </fill>
    <fill>
      <patternFill patternType="solid">
        <fgColor rgb="FFFFFF00"/>
        <bgColor rgb="FFFFFFCC"/>
      </patternFill>
    </fill>
    <fill>
      <patternFill patternType="solid">
        <fgColor theme="0" tint="-0.14999847407452621"/>
        <bgColor rgb="FFFFFFCC"/>
      </patternFill>
    </fill>
    <fill>
      <patternFill patternType="solid">
        <fgColor rgb="FFFFC000"/>
        <bgColor rgb="FFCCFFCC"/>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69">
    <xf numFmtId="0" fontId="0" fillId="0" borderId="0" xfId="0"/>
    <xf numFmtId="0" fontId="7" fillId="0" borderId="0" xfId="0" applyFont="1"/>
    <xf numFmtId="165" fontId="8" fillId="0" borderId="0" xfId="0" applyNumberFormat="1" applyFont="1" applyFill="1" applyBorder="1"/>
    <xf numFmtId="0" fontId="8" fillId="0" borderId="0" xfId="0" applyFont="1"/>
    <xf numFmtId="0" fontId="11" fillId="0" borderId="0" xfId="0" applyFont="1" applyFill="1" applyBorder="1" applyAlignment="1">
      <alignment horizontal="right"/>
    </xf>
    <xf numFmtId="165" fontId="11" fillId="0" borderId="0" xfId="0" applyNumberFormat="1" applyFont="1" applyFill="1" applyBorder="1"/>
    <xf numFmtId="0" fontId="14" fillId="0" borderId="0" xfId="0" applyFont="1"/>
    <xf numFmtId="0" fontId="13" fillId="0" borderId="0" xfId="0" applyFont="1"/>
    <xf numFmtId="0" fontId="8" fillId="2" borderId="1" xfId="0" applyFont="1" applyFill="1" applyBorder="1" applyAlignment="1">
      <alignment horizontal="center" vertical="center"/>
    </xf>
    <xf numFmtId="165" fontId="8"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166" fontId="8" fillId="2" borderId="1" xfId="0" applyNumberFormat="1" applyFont="1" applyFill="1" applyBorder="1" applyAlignment="1">
      <alignment horizontal="center" vertical="center"/>
    </xf>
    <xf numFmtId="0" fontId="8" fillId="0" borderId="0" xfId="0" applyFont="1" applyFill="1" applyBorder="1"/>
    <xf numFmtId="164" fontId="8" fillId="0" borderId="0" xfId="0" applyNumberFormat="1" applyFont="1" applyFill="1" applyBorder="1"/>
    <xf numFmtId="166" fontId="8" fillId="0" borderId="0" xfId="0" applyNumberFormat="1" applyFont="1" applyFill="1" applyBorder="1" applyAlignment="1">
      <alignment horizontal="center"/>
    </xf>
    <xf numFmtId="164" fontId="11" fillId="0" borderId="0" xfId="0" applyNumberFormat="1" applyFont="1" applyFill="1" applyBorder="1"/>
    <xf numFmtId="166" fontId="11" fillId="0" borderId="0" xfId="0" applyNumberFormat="1" applyFont="1" applyFill="1" applyBorder="1" applyAlignment="1">
      <alignment horizontal="center"/>
    </xf>
    <xf numFmtId="165" fontId="8" fillId="5" borderId="1" xfId="0" applyNumberFormat="1" applyFont="1" applyFill="1" applyBorder="1" applyAlignment="1">
      <alignment vertical="center"/>
    </xf>
    <xf numFmtId="165" fontId="8" fillId="0" borderId="0" xfId="0" applyNumberFormat="1" applyFont="1"/>
    <xf numFmtId="164" fontId="8" fillId="0" borderId="0" xfId="0" applyNumberFormat="1" applyFont="1"/>
    <xf numFmtId="166" fontId="8" fillId="0" borderId="0" xfId="0" applyNumberFormat="1" applyFont="1" applyAlignment="1">
      <alignment horizontal="center"/>
    </xf>
    <xf numFmtId="0" fontId="8" fillId="0" borderId="0" xfId="0" applyFont="1" applyAlignment="1"/>
    <xf numFmtId="165" fontId="8" fillId="0" borderId="0" xfId="0" applyNumberFormat="1" applyFont="1" applyAlignment="1"/>
    <xf numFmtId="164" fontId="8" fillId="0" borderId="0" xfId="0" applyNumberFormat="1" applyFont="1" applyAlignment="1"/>
    <xf numFmtId="166" fontId="8" fillId="0" borderId="0" xfId="0" applyNumberFormat="1" applyFont="1" applyAlignment="1"/>
    <xf numFmtId="0" fontId="10" fillId="0" borderId="0" xfId="0" applyFont="1" applyAlignment="1"/>
    <xf numFmtId="0" fontId="9" fillId="0" borderId="0" xfId="0" applyFont="1"/>
    <xf numFmtId="165" fontId="12" fillId="0" borderId="0" xfId="0" applyNumberFormat="1" applyFont="1" applyAlignment="1"/>
    <xf numFmtId="165" fontId="8" fillId="2" borderId="1" xfId="0" applyNumberFormat="1" applyFont="1" applyFill="1" applyBorder="1" applyAlignment="1">
      <alignment horizontal="right" vertical="center"/>
    </xf>
    <xf numFmtId="165" fontId="8" fillId="5" borderId="1" xfId="0" applyNumberFormat="1" applyFont="1" applyFill="1" applyBorder="1" applyAlignment="1" applyProtection="1">
      <alignment vertical="center"/>
    </xf>
    <xf numFmtId="165" fontId="8" fillId="2" borderId="1" xfId="0" applyNumberFormat="1" applyFont="1" applyFill="1" applyBorder="1" applyAlignment="1" applyProtection="1">
      <alignment horizontal="right" vertical="center"/>
    </xf>
    <xf numFmtId="0" fontId="8" fillId="0" borderId="1" xfId="0" applyFont="1" applyFill="1" applyBorder="1" applyAlignment="1" applyProtection="1">
      <alignment vertical="center"/>
      <protection locked="0"/>
    </xf>
    <xf numFmtId="0" fontId="8" fillId="4" borderId="1" xfId="0" applyFont="1" applyFill="1" applyBorder="1" applyAlignment="1" applyProtection="1">
      <alignment vertical="center"/>
      <protection locked="0"/>
    </xf>
    <xf numFmtId="165" fontId="8" fillId="4" borderId="1" xfId="0" applyNumberFormat="1" applyFont="1" applyFill="1" applyBorder="1" applyAlignment="1" applyProtection="1">
      <alignment vertical="center"/>
      <protection locked="0"/>
    </xf>
    <xf numFmtId="164" fontId="8" fillId="4" borderId="1" xfId="0" applyNumberFormat="1" applyFont="1" applyFill="1" applyBorder="1" applyAlignment="1" applyProtection="1">
      <alignment vertical="center"/>
      <protection locked="0"/>
    </xf>
    <xf numFmtId="166" fontId="8" fillId="4" borderId="1" xfId="0" applyNumberFormat="1" applyFont="1" applyFill="1" applyBorder="1" applyAlignment="1" applyProtection="1">
      <alignment horizontal="center" vertical="center"/>
      <protection locked="0"/>
    </xf>
    <xf numFmtId="166" fontId="11" fillId="3" borderId="0" xfId="0" applyNumberFormat="1" applyFont="1" applyFill="1" applyBorder="1" applyAlignment="1" applyProtection="1">
      <alignment horizontal="center"/>
      <protection locked="0"/>
    </xf>
    <xf numFmtId="9" fontId="11" fillId="3" borderId="0" xfId="0" applyNumberFormat="1" applyFont="1" applyFill="1" applyBorder="1" applyAlignment="1" applyProtection="1">
      <alignment horizontal="center"/>
      <protection locked="0"/>
    </xf>
    <xf numFmtId="164" fontId="8" fillId="4" borderId="1" xfId="0" applyNumberFormat="1" applyFont="1" applyFill="1" applyBorder="1" applyAlignment="1" applyProtection="1">
      <alignment horizontal="center" vertical="center"/>
      <protection locked="0"/>
    </xf>
    <xf numFmtId="165" fontId="8" fillId="3" borderId="1" xfId="0" applyNumberFormat="1" applyFont="1" applyFill="1" applyBorder="1" applyAlignment="1" applyProtection="1">
      <alignment vertical="center"/>
      <protection locked="0"/>
    </xf>
    <xf numFmtId="164" fontId="8" fillId="3" borderId="1" xfId="0" applyNumberFormat="1" applyFont="1" applyFill="1" applyBorder="1" applyAlignment="1" applyProtection="1">
      <alignment vertical="center"/>
      <protection locked="0"/>
    </xf>
    <xf numFmtId="166" fontId="8" fillId="3"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vertical="center"/>
      <protection locked="0"/>
    </xf>
    <xf numFmtId="165" fontId="8" fillId="3" borderId="1" xfId="0" applyNumberFormat="1" applyFont="1" applyFill="1" applyBorder="1" applyProtection="1">
      <protection locked="0"/>
    </xf>
    <xf numFmtId="164" fontId="8" fillId="3" borderId="1" xfId="0" applyNumberFormat="1" applyFont="1" applyFill="1" applyBorder="1" applyProtection="1">
      <protection locked="0"/>
    </xf>
    <xf numFmtId="166" fontId="8" fillId="3" borderId="1" xfId="0" applyNumberFormat="1" applyFont="1" applyFill="1" applyBorder="1" applyAlignment="1" applyProtection="1">
      <alignment horizontal="center"/>
      <protection locked="0"/>
    </xf>
    <xf numFmtId="0" fontId="8" fillId="0" borderId="4" xfId="0" applyFont="1" applyFill="1" applyBorder="1" applyAlignment="1">
      <alignment horizontal="left" vertical="center"/>
    </xf>
    <xf numFmtId="9" fontId="8" fillId="0" borderId="4" xfId="0" applyNumberFormat="1" applyFont="1" applyFill="1" applyBorder="1" applyAlignment="1">
      <alignment horizontal="right" vertical="center"/>
    </xf>
    <xf numFmtId="165" fontId="8" fillId="0" borderId="4" xfId="0" applyNumberFormat="1" applyFont="1" applyFill="1" applyBorder="1" applyAlignment="1">
      <alignment horizontal="right" vertical="center"/>
    </xf>
    <xf numFmtId="49" fontId="8" fillId="0" borderId="0" xfId="0" applyNumberFormat="1" applyFont="1" applyFill="1" applyBorder="1" applyAlignment="1">
      <alignment vertical="center" wrapText="1"/>
    </xf>
    <xf numFmtId="0" fontId="13" fillId="0" borderId="0" xfId="0" applyFont="1" applyProtection="1">
      <protection locked="0"/>
    </xf>
    <xf numFmtId="165" fontId="15" fillId="0" borderId="0" xfId="0" applyNumberFormat="1" applyFont="1" applyAlignment="1">
      <alignment horizontal="center"/>
    </xf>
    <xf numFmtId="49" fontId="8" fillId="0" borderId="0" xfId="0" applyNumberFormat="1" applyFont="1" applyFill="1" applyBorder="1" applyAlignment="1">
      <alignment horizontal="center" vertical="center" wrapText="1"/>
    </xf>
    <xf numFmtId="49" fontId="8" fillId="0" borderId="0" xfId="0" applyNumberFormat="1" applyFont="1" applyFill="1" applyBorder="1" applyAlignment="1">
      <alignment horizontal="center" vertical="center"/>
    </xf>
    <xf numFmtId="0" fontId="8" fillId="0" borderId="0" xfId="0" applyFont="1" applyAlignment="1">
      <alignment horizontal="center" vertical="center"/>
    </xf>
    <xf numFmtId="49" fontId="8" fillId="0" borderId="0" xfId="0" applyNumberFormat="1" applyFont="1" applyFill="1" applyBorder="1" applyAlignment="1">
      <alignment horizontal="left" vertical="center" wrapText="1"/>
    </xf>
    <xf numFmtId="0" fontId="10" fillId="0" borderId="0" xfId="0" applyFont="1" applyAlignment="1">
      <alignment horizontal="center"/>
    </xf>
    <xf numFmtId="0" fontId="8" fillId="2" borderId="2" xfId="0" applyFont="1" applyFill="1" applyBorder="1" applyAlignment="1">
      <alignment horizontal="left" vertical="center"/>
    </xf>
    <xf numFmtId="0" fontId="8" fillId="2" borderId="3" xfId="0" applyFont="1" applyFill="1" applyBorder="1" applyAlignment="1">
      <alignment horizontal="left" vertical="center"/>
    </xf>
    <xf numFmtId="9" fontId="8" fillId="2" borderId="2" xfId="0" applyNumberFormat="1" applyFont="1" applyFill="1" applyBorder="1" applyAlignment="1">
      <alignment horizontal="right" vertical="center"/>
    </xf>
    <xf numFmtId="9" fontId="8" fillId="2" borderId="3" xfId="0" applyNumberFormat="1" applyFont="1" applyFill="1" applyBorder="1" applyAlignment="1">
      <alignment horizontal="right" vertical="center"/>
    </xf>
    <xf numFmtId="167" fontId="8" fillId="2" borderId="2" xfId="0" applyNumberFormat="1" applyFont="1" applyFill="1" applyBorder="1" applyAlignment="1">
      <alignment horizontal="right" vertical="center"/>
    </xf>
    <xf numFmtId="167" fontId="8" fillId="2" borderId="3" xfId="0" applyNumberFormat="1" applyFont="1" applyFill="1" applyBorder="1" applyAlignment="1">
      <alignment horizontal="right" vertical="center"/>
    </xf>
    <xf numFmtId="165" fontId="8" fillId="2" borderId="2" xfId="0" applyNumberFormat="1" applyFont="1" applyFill="1" applyBorder="1" applyAlignment="1">
      <alignment horizontal="right" vertical="center"/>
    </xf>
    <xf numFmtId="165" fontId="8" fillId="2" borderId="3" xfId="0" applyNumberFormat="1" applyFont="1" applyFill="1" applyBorder="1" applyAlignment="1">
      <alignment horizontal="right" vertical="center"/>
    </xf>
    <xf numFmtId="0" fontId="8" fillId="2" borderId="1" xfId="0" applyFont="1" applyFill="1" applyBorder="1" applyAlignment="1">
      <alignment horizontal="left" vertical="center"/>
    </xf>
    <xf numFmtId="165" fontId="8" fillId="2" borderId="1" xfId="0" applyNumberFormat="1" applyFont="1" applyFill="1" applyBorder="1" applyAlignment="1">
      <alignment horizontal="right" vertical="center"/>
    </xf>
    <xf numFmtId="0" fontId="8" fillId="6" borderId="1" xfId="0" applyFont="1" applyFill="1" applyBorder="1" applyAlignment="1">
      <alignment horizontal="left" vertical="center"/>
    </xf>
    <xf numFmtId="165" fontId="8" fillId="6"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AA95"/>
      <rgbColor rgb="FFCC99FF"/>
      <rgbColor rgb="FFFFCC99"/>
      <rgbColor rgb="FF3366FF"/>
      <rgbColor rgb="FF33CCCC"/>
      <rgbColor rgb="FF99CC00"/>
      <rgbColor rgb="FFFFBF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28575</xdr:rowOff>
    </xdr:from>
    <xdr:to>
      <xdr:col>2</xdr:col>
      <xdr:colOff>2314575</xdr:colOff>
      <xdr:row>0</xdr:row>
      <xdr:rowOff>2690631</xdr:rowOff>
    </xdr:to>
    <xdr:pic>
      <xdr:nvPicPr>
        <xdr:cNvPr id="3" name="Image 2">
          <a:extLst>
            <a:ext uri="{FF2B5EF4-FFF2-40B4-BE49-F238E27FC236}">
              <a16:creationId xmlns:a16="http://schemas.microsoft.com/office/drawing/2014/main" id="{ED3D4E2D-8786-4BFD-B7A4-D0AE1DC43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19450" y="28575"/>
          <a:ext cx="3762375" cy="2662056"/>
        </a:xfrm>
        <a:prstGeom prst="rect">
          <a:avLst/>
        </a:prstGeom>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20"/>
  <sheetViews>
    <sheetView tabSelected="1" zoomScaleNormal="100" workbookViewId="0">
      <selection activeCell="B8" sqref="B8"/>
    </sheetView>
  </sheetViews>
  <sheetFormatPr baseColWidth="10" defaultColWidth="11.5703125" defaultRowHeight="15" customHeight="1" x14ac:dyDescent="0.15"/>
  <cols>
    <col min="1" max="1" width="46.85546875" style="3" customWidth="1"/>
    <col min="2" max="2" width="23.140625" style="3" bestFit="1" customWidth="1"/>
    <col min="3" max="3" width="80" style="18" customWidth="1"/>
    <col min="4" max="4" width="12.42578125" style="19" bestFit="1" customWidth="1"/>
    <col min="5" max="5" width="4.7109375" style="20" customWidth="1"/>
    <col min="6" max="6" width="10.42578125" style="18" customWidth="1"/>
    <col min="7" max="7" width="7.7109375" style="1" customWidth="1"/>
    <col min="8" max="8" width="11.140625" style="1" customWidth="1"/>
    <col min="9" max="27" width="7.7109375" style="1" customWidth="1"/>
    <col min="28" max="16384" width="11.5703125" style="1"/>
  </cols>
  <sheetData>
    <row r="1" spans="1:6" ht="216" customHeight="1" x14ac:dyDescent="0.15">
      <c r="A1" s="54"/>
      <c r="B1" s="54"/>
      <c r="C1" s="54"/>
    </row>
    <row r="3" spans="1:6" ht="36" x14ac:dyDescent="0.55000000000000004">
      <c r="A3" s="51" t="s">
        <v>123</v>
      </c>
      <c r="B3" s="51"/>
      <c r="C3" s="51"/>
      <c r="D3" s="27"/>
      <c r="E3" s="27"/>
      <c r="F3" s="27"/>
    </row>
    <row r="4" spans="1:6" ht="15" customHeight="1" x14ac:dyDescent="0.15">
      <c r="A4" s="12"/>
      <c r="B4" s="12"/>
      <c r="C4" s="2"/>
      <c r="D4" s="13"/>
      <c r="E4" s="14"/>
      <c r="F4" s="2"/>
    </row>
    <row r="5" spans="1:6" ht="156.75" customHeight="1" x14ac:dyDescent="0.15">
      <c r="A5" s="52" t="s">
        <v>134</v>
      </c>
      <c r="B5" s="53"/>
      <c r="C5" s="53"/>
      <c r="D5" s="13"/>
      <c r="E5" s="14"/>
      <c r="F5" s="2"/>
    </row>
    <row r="6" spans="1:6" ht="309" customHeight="1" x14ac:dyDescent="0.15">
      <c r="A6" s="49"/>
      <c r="B6" s="55" t="s">
        <v>131</v>
      </c>
      <c r="C6" s="55"/>
      <c r="D6" s="13"/>
      <c r="E6" s="14"/>
      <c r="F6" s="2"/>
    </row>
    <row r="7" spans="1:6" ht="15" customHeight="1" x14ac:dyDescent="0.15">
      <c r="A7" s="12"/>
      <c r="B7" s="12"/>
      <c r="C7" s="2"/>
      <c r="D7" s="13"/>
      <c r="E7" s="14"/>
      <c r="F7" s="2"/>
    </row>
    <row r="8" spans="1:6" s="6" customFormat="1" ht="15" customHeight="1" x14ac:dyDescent="0.3">
      <c r="A8" s="4" t="s">
        <v>122</v>
      </c>
      <c r="B8" s="36">
        <v>1</v>
      </c>
      <c r="C8" s="5" t="s">
        <v>132</v>
      </c>
      <c r="D8" s="15"/>
      <c r="E8" s="16"/>
      <c r="F8" s="5"/>
    </row>
    <row r="9" spans="1:6" s="6" customFormat="1" ht="15" customHeight="1" x14ac:dyDescent="0.3">
      <c r="A9" s="4" t="s">
        <v>124</v>
      </c>
      <c r="B9" s="37">
        <v>0.3</v>
      </c>
      <c r="C9" s="5"/>
      <c r="D9" s="15"/>
      <c r="E9" s="16"/>
      <c r="F9" s="5"/>
    </row>
    <row r="10" spans="1:6" ht="15" customHeight="1" x14ac:dyDescent="0.15">
      <c r="A10" s="12"/>
      <c r="B10" s="12"/>
      <c r="C10" s="2"/>
      <c r="D10" s="13"/>
      <c r="E10" s="14"/>
      <c r="F10" s="2"/>
    </row>
    <row r="11" spans="1:6" ht="15" customHeight="1" x14ac:dyDescent="0.15">
      <c r="A11" s="1"/>
      <c r="B11" s="1"/>
      <c r="C11" s="1"/>
      <c r="D11" s="1"/>
      <c r="E11" s="1"/>
      <c r="F11" s="1"/>
    </row>
    <row r="12" spans="1:6" ht="15" customHeight="1" x14ac:dyDescent="0.15">
      <c r="A12" s="12"/>
      <c r="B12" s="12"/>
      <c r="C12" s="2"/>
      <c r="D12" s="13"/>
      <c r="E12" s="14"/>
      <c r="F12" s="2"/>
    </row>
    <row r="13" spans="1:6" ht="15" customHeight="1" x14ac:dyDescent="0.15">
      <c r="A13" s="1"/>
      <c r="B13" s="1"/>
      <c r="C13" s="1"/>
      <c r="D13" s="1"/>
      <c r="E13" s="1"/>
      <c r="F13" s="1"/>
    </row>
    <row r="14" spans="1:6" ht="15" customHeight="1" x14ac:dyDescent="0.15">
      <c r="A14" s="1"/>
      <c r="B14" s="1"/>
      <c r="C14" s="1"/>
      <c r="D14" s="1"/>
      <c r="E14" s="1"/>
      <c r="F14" s="1"/>
    </row>
    <row r="15" spans="1:6" ht="15" customHeight="1" x14ac:dyDescent="0.15">
      <c r="A15" s="1"/>
      <c r="B15" s="1"/>
      <c r="C15" s="1"/>
      <c r="D15" s="1"/>
      <c r="E15" s="1"/>
      <c r="F15" s="1"/>
    </row>
    <row r="16" spans="1:6" ht="15" customHeight="1" x14ac:dyDescent="0.15">
      <c r="A16" s="1"/>
      <c r="B16" s="1"/>
      <c r="C16" s="1"/>
      <c r="D16" s="1"/>
      <c r="E16" s="1"/>
      <c r="F16" s="1"/>
    </row>
    <row r="17" spans="1:6" ht="15" customHeight="1" x14ac:dyDescent="0.15">
      <c r="A17" s="1"/>
      <c r="B17" s="1"/>
      <c r="C17" s="1"/>
      <c r="D17" s="1"/>
      <c r="E17" s="1"/>
      <c r="F17" s="1"/>
    </row>
    <row r="18" spans="1:6" ht="15" customHeight="1" x14ac:dyDescent="0.15">
      <c r="A18" s="1"/>
      <c r="B18" s="1"/>
      <c r="C18" s="1"/>
      <c r="D18" s="1"/>
      <c r="E18" s="1"/>
      <c r="F18" s="1"/>
    </row>
    <row r="19" spans="1:6" ht="15" customHeight="1" x14ac:dyDescent="0.15">
      <c r="A19" s="1"/>
      <c r="B19" s="1"/>
      <c r="C19" s="1"/>
      <c r="D19" s="1"/>
      <c r="E19" s="1"/>
      <c r="F19" s="1"/>
    </row>
    <row r="20" spans="1:6" ht="15" customHeight="1" x14ac:dyDescent="0.15">
      <c r="A20" s="1"/>
      <c r="B20" s="1"/>
      <c r="C20" s="1"/>
      <c r="D20" s="1"/>
      <c r="E20" s="1"/>
      <c r="F20" s="1"/>
    </row>
    <row r="21" spans="1:6" ht="15" customHeight="1" x14ac:dyDescent="0.15">
      <c r="A21" s="1"/>
      <c r="B21" s="1"/>
      <c r="C21" s="1"/>
      <c r="D21" s="1"/>
      <c r="E21" s="1"/>
      <c r="F21" s="1"/>
    </row>
    <row r="22" spans="1:6" ht="15" customHeight="1" x14ac:dyDescent="0.15">
      <c r="A22" s="1"/>
      <c r="B22" s="1"/>
      <c r="C22" s="1"/>
      <c r="D22" s="1"/>
      <c r="E22" s="1"/>
      <c r="F22" s="1"/>
    </row>
    <row r="23" spans="1:6" ht="15" customHeight="1" x14ac:dyDescent="0.15">
      <c r="A23" s="1"/>
      <c r="B23" s="1"/>
      <c r="C23" s="1"/>
      <c r="D23" s="1"/>
      <c r="E23" s="1"/>
      <c r="F23" s="1"/>
    </row>
    <row r="24" spans="1:6" ht="15" customHeight="1" x14ac:dyDescent="0.15">
      <c r="B24" s="12"/>
      <c r="C24" s="2"/>
      <c r="D24" s="13"/>
      <c r="E24" s="14"/>
      <c r="F24" s="2"/>
    </row>
    <row r="25" spans="1:6" ht="15" customHeight="1" x14ac:dyDescent="0.15">
      <c r="A25" s="1"/>
      <c r="B25" s="1"/>
      <c r="C25" s="1"/>
      <c r="D25" s="1"/>
      <c r="E25" s="1"/>
      <c r="F25" s="1"/>
    </row>
    <row r="26" spans="1:6" ht="15" customHeight="1" x14ac:dyDescent="0.15">
      <c r="A26" s="1"/>
      <c r="B26" s="1"/>
      <c r="C26" s="1"/>
      <c r="D26" s="1"/>
      <c r="E26" s="1"/>
      <c r="F26" s="1"/>
    </row>
    <row r="27" spans="1:6" ht="15" customHeight="1" x14ac:dyDescent="0.15">
      <c r="A27" s="1"/>
      <c r="B27" s="1"/>
      <c r="C27" s="1"/>
      <c r="D27" s="1"/>
      <c r="E27" s="1"/>
      <c r="F27" s="1"/>
    </row>
    <row r="28" spans="1:6" ht="15" customHeight="1" x14ac:dyDescent="0.15">
      <c r="A28" s="1"/>
      <c r="B28" s="1"/>
      <c r="C28" s="1"/>
      <c r="D28" s="1"/>
      <c r="E28" s="1"/>
      <c r="F28" s="1"/>
    </row>
    <row r="29" spans="1:6" ht="15" customHeight="1" x14ac:dyDescent="0.15">
      <c r="A29" s="1"/>
      <c r="B29" s="1"/>
      <c r="C29" s="1"/>
      <c r="D29" s="1"/>
      <c r="E29" s="1"/>
      <c r="F29" s="1"/>
    </row>
    <row r="30" spans="1:6" ht="15" customHeight="1" x14ac:dyDescent="0.15">
      <c r="A30" s="1"/>
      <c r="B30" s="1"/>
      <c r="C30" s="1"/>
      <c r="D30" s="1"/>
      <c r="E30" s="1"/>
      <c r="F30" s="1"/>
    </row>
    <row r="31" spans="1:6" ht="15" customHeight="1" x14ac:dyDescent="0.15">
      <c r="A31" s="1"/>
      <c r="B31" s="1"/>
      <c r="C31" s="1"/>
      <c r="D31" s="1"/>
      <c r="E31" s="1"/>
      <c r="F31" s="1"/>
    </row>
    <row r="32" spans="1:6" ht="15" customHeight="1" x14ac:dyDescent="0.15">
      <c r="A32" s="1"/>
      <c r="B32" s="1"/>
      <c r="C32" s="1"/>
      <c r="D32" s="1"/>
      <c r="E32" s="1"/>
      <c r="F32" s="1"/>
    </row>
    <row r="33" spans="1:6" ht="15" customHeight="1" x14ac:dyDescent="0.15">
      <c r="A33" s="1"/>
      <c r="B33" s="1"/>
      <c r="C33" s="1"/>
      <c r="D33" s="1"/>
      <c r="E33" s="1"/>
      <c r="F33" s="1"/>
    </row>
    <row r="34" spans="1:6" ht="15" customHeight="1" x14ac:dyDescent="0.15">
      <c r="A34" s="1"/>
      <c r="B34" s="1"/>
      <c r="C34" s="1"/>
      <c r="D34" s="1"/>
      <c r="E34" s="1"/>
      <c r="F34" s="1"/>
    </row>
    <row r="35" spans="1:6" ht="15" customHeight="1" x14ac:dyDescent="0.15">
      <c r="A35" s="1"/>
      <c r="B35" s="1"/>
      <c r="C35" s="1"/>
      <c r="D35" s="1"/>
      <c r="E35" s="1"/>
      <c r="F35" s="1"/>
    </row>
    <row r="36" spans="1:6" ht="15" customHeight="1" x14ac:dyDescent="0.15">
      <c r="A36" s="1"/>
      <c r="B36" s="1"/>
      <c r="C36" s="1"/>
      <c r="D36" s="1"/>
      <c r="E36" s="1"/>
      <c r="F36" s="1"/>
    </row>
    <row r="37" spans="1:6" ht="15" customHeight="1" x14ac:dyDescent="0.15">
      <c r="A37" s="1"/>
      <c r="B37" s="1"/>
      <c r="C37" s="1"/>
      <c r="D37" s="1"/>
      <c r="E37" s="1"/>
      <c r="F37" s="1"/>
    </row>
    <row r="38" spans="1:6" ht="15" customHeight="1" x14ac:dyDescent="0.15">
      <c r="A38" s="1"/>
      <c r="B38" s="1"/>
      <c r="C38" s="1"/>
      <c r="D38" s="1"/>
      <c r="E38" s="1"/>
      <c r="F38" s="1"/>
    </row>
    <row r="39" spans="1:6" ht="15" customHeight="1" x14ac:dyDescent="0.15">
      <c r="A39" s="1"/>
      <c r="B39" s="1"/>
      <c r="C39" s="1"/>
      <c r="D39" s="1"/>
      <c r="E39" s="1"/>
      <c r="F39" s="1"/>
    </row>
    <row r="40" spans="1:6" ht="15" customHeight="1" x14ac:dyDescent="0.15">
      <c r="B40" s="12"/>
      <c r="C40" s="2"/>
      <c r="D40" s="13"/>
      <c r="E40" s="14"/>
      <c r="F40" s="2"/>
    </row>
    <row r="41" spans="1:6" ht="15" customHeight="1" x14ac:dyDescent="0.15">
      <c r="A41" s="1"/>
      <c r="B41" s="1"/>
      <c r="C41" s="1"/>
      <c r="D41" s="1"/>
      <c r="E41" s="1"/>
      <c r="F41" s="1"/>
    </row>
    <row r="42" spans="1:6" ht="15" customHeight="1" x14ac:dyDescent="0.15">
      <c r="A42" s="1"/>
      <c r="B42" s="1"/>
      <c r="C42" s="1"/>
      <c r="D42" s="1"/>
      <c r="E42" s="1"/>
      <c r="F42" s="1"/>
    </row>
    <row r="43" spans="1:6" ht="15" customHeight="1" x14ac:dyDescent="0.15">
      <c r="A43" s="1"/>
      <c r="B43" s="1"/>
      <c r="C43" s="1"/>
      <c r="D43" s="1"/>
      <c r="E43" s="1"/>
      <c r="F43" s="1"/>
    </row>
    <row r="44" spans="1:6" ht="15" customHeight="1" x14ac:dyDescent="0.15">
      <c r="A44" s="1"/>
      <c r="B44" s="1"/>
      <c r="C44" s="1"/>
      <c r="D44" s="1"/>
      <c r="E44" s="1"/>
      <c r="F44" s="1"/>
    </row>
    <row r="45" spans="1:6" ht="15" customHeight="1" x14ac:dyDescent="0.15">
      <c r="A45" s="1"/>
      <c r="B45" s="1"/>
      <c r="C45" s="1"/>
      <c r="D45" s="1"/>
      <c r="E45" s="1"/>
      <c r="F45" s="1"/>
    </row>
    <row r="46" spans="1:6" ht="15" customHeight="1" x14ac:dyDescent="0.15">
      <c r="A46" s="1"/>
      <c r="B46" s="1"/>
      <c r="C46" s="1"/>
      <c r="D46" s="1"/>
      <c r="E46" s="1"/>
      <c r="F46" s="1"/>
    </row>
    <row r="47" spans="1:6" ht="15" customHeight="1" x14ac:dyDescent="0.15">
      <c r="A47" s="1"/>
      <c r="B47" s="1"/>
      <c r="C47" s="1"/>
      <c r="D47" s="1"/>
      <c r="E47" s="1"/>
      <c r="F47" s="1"/>
    </row>
    <row r="48" spans="1:6" ht="15" customHeight="1" x14ac:dyDescent="0.15">
      <c r="A48" s="1"/>
      <c r="B48" s="1"/>
      <c r="C48" s="1"/>
      <c r="D48" s="1"/>
      <c r="E48" s="1"/>
      <c r="F48" s="1"/>
    </row>
    <row r="49" spans="1:6" ht="15" customHeight="1" x14ac:dyDescent="0.15">
      <c r="B49" s="12"/>
      <c r="C49" s="2"/>
      <c r="D49" s="13"/>
      <c r="E49" s="14"/>
      <c r="F49" s="2"/>
    </row>
    <row r="50" spans="1:6" ht="15" customHeight="1" x14ac:dyDescent="0.15">
      <c r="A50" s="1"/>
      <c r="B50" s="1"/>
      <c r="C50" s="1"/>
      <c r="D50" s="1"/>
      <c r="E50" s="1"/>
      <c r="F50" s="1"/>
    </row>
    <row r="51" spans="1:6" ht="15" customHeight="1" x14ac:dyDescent="0.15">
      <c r="A51" s="1"/>
      <c r="B51" s="1"/>
      <c r="C51" s="1"/>
      <c r="D51" s="1"/>
      <c r="E51" s="1"/>
      <c r="F51" s="1"/>
    </row>
    <row r="52" spans="1:6" ht="15" customHeight="1" x14ac:dyDescent="0.15">
      <c r="A52" s="1"/>
      <c r="B52" s="1"/>
      <c r="C52" s="1"/>
      <c r="D52" s="1"/>
      <c r="E52" s="1"/>
      <c r="F52" s="1"/>
    </row>
    <row r="53" spans="1:6" ht="15" customHeight="1" x14ac:dyDescent="0.15">
      <c r="A53" s="1"/>
      <c r="B53" s="1"/>
      <c r="C53" s="1"/>
      <c r="D53" s="1"/>
      <c r="E53" s="1"/>
      <c r="F53" s="1"/>
    </row>
    <row r="54" spans="1:6" ht="15" customHeight="1" x14ac:dyDescent="0.15">
      <c r="A54" s="1"/>
      <c r="B54" s="1"/>
      <c r="C54" s="1"/>
      <c r="D54" s="1"/>
      <c r="E54" s="1"/>
      <c r="F54" s="1"/>
    </row>
    <row r="55" spans="1:6" ht="15" customHeight="1" x14ac:dyDescent="0.15">
      <c r="A55" s="1"/>
      <c r="B55" s="1"/>
      <c r="C55" s="1"/>
      <c r="D55" s="1"/>
      <c r="E55" s="1"/>
      <c r="F55" s="1"/>
    </row>
    <row r="56" spans="1:6" ht="15" customHeight="1" x14ac:dyDescent="0.15">
      <c r="A56" s="1"/>
      <c r="B56" s="1"/>
      <c r="C56" s="1"/>
      <c r="D56" s="1"/>
      <c r="E56" s="1"/>
      <c r="F56" s="1"/>
    </row>
    <row r="57" spans="1:6" ht="15" customHeight="1" x14ac:dyDescent="0.15">
      <c r="A57" s="1"/>
      <c r="B57" s="1"/>
      <c r="C57" s="1"/>
      <c r="D57" s="1"/>
      <c r="E57" s="1"/>
      <c r="F57" s="1"/>
    </row>
    <row r="58" spans="1:6" ht="15" customHeight="1" x14ac:dyDescent="0.15">
      <c r="A58" s="1"/>
      <c r="B58" s="1"/>
      <c r="C58" s="1"/>
      <c r="D58" s="1"/>
      <c r="E58" s="1"/>
      <c r="F58" s="1"/>
    </row>
    <row r="59" spans="1:6" ht="15" customHeight="1" x14ac:dyDescent="0.15">
      <c r="A59" s="1"/>
      <c r="B59" s="1"/>
      <c r="C59" s="1"/>
      <c r="D59" s="1"/>
      <c r="E59" s="1"/>
      <c r="F59" s="1"/>
    </row>
    <row r="60" spans="1:6" ht="15" customHeight="1" x14ac:dyDescent="0.15">
      <c r="A60" s="1"/>
      <c r="B60" s="1"/>
      <c r="C60" s="1"/>
      <c r="D60" s="1"/>
      <c r="E60" s="1"/>
      <c r="F60" s="1"/>
    </row>
    <row r="61" spans="1:6" ht="15" customHeight="1" x14ac:dyDescent="0.15">
      <c r="A61" s="1"/>
      <c r="B61" s="1"/>
      <c r="C61" s="1"/>
      <c r="D61" s="1"/>
      <c r="E61" s="1"/>
      <c r="F61" s="1"/>
    </row>
    <row r="62" spans="1:6" ht="15" customHeight="1" x14ac:dyDescent="0.15">
      <c r="A62" s="1"/>
      <c r="B62" s="1"/>
      <c r="C62" s="1"/>
      <c r="D62" s="1"/>
      <c r="E62" s="1"/>
      <c r="F62" s="1"/>
    </row>
    <row r="63" spans="1:6" ht="15" customHeight="1" x14ac:dyDescent="0.15">
      <c r="B63" s="12"/>
      <c r="C63" s="2"/>
      <c r="D63" s="13"/>
      <c r="E63" s="14"/>
      <c r="F63" s="2"/>
    </row>
    <row r="64" spans="1:6" ht="15" customHeight="1" x14ac:dyDescent="0.15">
      <c r="A64" s="1"/>
      <c r="B64" s="1"/>
      <c r="C64" s="1"/>
      <c r="D64" s="1"/>
      <c r="E64" s="1"/>
      <c r="F64" s="1"/>
    </row>
    <row r="65" s="1" customFormat="1" ht="15" customHeight="1" x14ac:dyDescent="0.15"/>
    <row r="66" s="1" customFormat="1" ht="15" customHeight="1" x14ac:dyDescent="0.15"/>
    <row r="67" s="1" customFormat="1" ht="15" customHeight="1" x14ac:dyDescent="0.15"/>
    <row r="68" s="1" customFormat="1" ht="15" customHeight="1" x14ac:dyDescent="0.15"/>
    <row r="69" s="1" customFormat="1" ht="15" customHeight="1" x14ac:dyDescent="0.15"/>
    <row r="70" s="1" customFormat="1" ht="15" customHeight="1" x14ac:dyDescent="0.15"/>
    <row r="71" s="1" customFormat="1" ht="15" customHeight="1" x14ac:dyDescent="0.15"/>
    <row r="72" s="1" customFormat="1" ht="15" customHeight="1" x14ac:dyDescent="0.15"/>
    <row r="73" s="1" customFormat="1" ht="15" customHeight="1" x14ac:dyDescent="0.15"/>
    <row r="74" s="1" customFormat="1" ht="15" customHeight="1" x14ac:dyDescent="0.15"/>
    <row r="75" s="1" customFormat="1" ht="15" customHeight="1" x14ac:dyDescent="0.15"/>
    <row r="76" s="1" customFormat="1" ht="15" customHeight="1" x14ac:dyDescent="0.15"/>
    <row r="77" s="1" customFormat="1" ht="15" customHeight="1" x14ac:dyDescent="0.15"/>
    <row r="78" s="1" customFormat="1" ht="15" customHeight="1" x14ac:dyDescent="0.15"/>
    <row r="79" s="1" customFormat="1" ht="15" customHeight="1" x14ac:dyDescent="0.15"/>
    <row r="80" s="1" customFormat="1" ht="15" customHeight="1" x14ac:dyDescent="0.15"/>
    <row r="81" s="1" customFormat="1" ht="15" customHeight="1" x14ac:dyDescent="0.15"/>
    <row r="82" s="1" customFormat="1" ht="15" customHeight="1" x14ac:dyDescent="0.15"/>
    <row r="83" s="1" customFormat="1" ht="15" customHeight="1" x14ac:dyDescent="0.15"/>
    <row r="84" s="1" customFormat="1" ht="15" customHeight="1" x14ac:dyDescent="0.15"/>
    <row r="85" s="1" customFormat="1" ht="15" customHeight="1" x14ac:dyDescent="0.15"/>
    <row r="86" s="1" customFormat="1" ht="15" customHeight="1" x14ac:dyDescent="0.15"/>
    <row r="87" s="1" customFormat="1" ht="15" customHeight="1" x14ac:dyDescent="0.15"/>
    <row r="88" s="1" customFormat="1" ht="15" customHeight="1" x14ac:dyDescent="0.15"/>
    <row r="89" s="1" customFormat="1" ht="15" customHeight="1" x14ac:dyDescent="0.15"/>
    <row r="90" s="1" customFormat="1" ht="15" customHeight="1" x14ac:dyDescent="0.15"/>
    <row r="91" s="1" customFormat="1" ht="15" customHeight="1" x14ac:dyDescent="0.15"/>
    <row r="92" s="1" customFormat="1" ht="15" customHeight="1" x14ac:dyDescent="0.15"/>
    <row r="93" s="1" customFormat="1" ht="15" customHeight="1" x14ac:dyDescent="0.15"/>
    <row r="94" s="1" customFormat="1" ht="15" customHeight="1" x14ac:dyDescent="0.15"/>
    <row r="95" s="1" customFormat="1" ht="15" customHeight="1" x14ac:dyDescent="0.15"/>
    <row r="96" s="1" customFormat="1" ht="15" customHeight="1" x14ac:dyDescent="0.15"/>
    <row r="97" s="1" customFormat="1" ht="15" customHeight="1" x14ac:dyDescent="0.15"/>
    <row r="98" s="1" customFormat="1" ht="15" customHeight="1" x14ac:dyDescent="0.15"/>
    <row r="99" s="1" customFormat="1" ht="15" customHeight="1" x14ac:dyDescent="0.15"/>
    <row r="100" s="1" customFormat="1" ht="15" customHeight="1" x14ac:dyDescent="0.15"/>
    <row r="101" s="1" customFormat="1" ht="15" customHeight="1" x14ac:dyDescent="0.15"/>
    <row r="102" s="1" customFormat="1" ht="15" customHeight="1" x14ac:dyDescent="0.15"/>
    <row r="103" s="1" customFormat="1" ht="15" customHeight="1" x14ac:dyDescent="0.15"/>
    <row r="104" s="1" customFormat="1" ht="15" customHeight="1" x14ac:dyDescent="0.15"/>
    <row r="105" s="1" customFormat="1" ht="15" customHeight="1" x14ac:dyDescent="0.15"/>
    <row r="106" s="1" customFormat="1" ht="15" customHeight="1" x14ac:dyDescent="0.15"/>
    <row r="107" s="1" customFormat="1" ht="15" customHeight="1" x14ac:dyDescent="0.15"/>
    <row r="108" s="1" customFormat="1" ht="15" customHeight="1" x14ac:dyDescent="0.15"/>
    <row r="109" s="1" customFormat="1" ht="15" customHeight="1" x14ac:dyDescent="0.15"/>
    <row r="110" s="1" customFormat="1" ht="15" customHeight="1" x14ac:dyDescent="0.15"/>
    <row r="112" s="3" customFormat="1" ht="15" customHeight="1" x14ac:dyDescent="0.15"/>
    <row r="113" spans="3:6" ht="15" customHeight="1" x14ac:dyDescent="0.15">
      <c r="C113" s="1"/>
      <c r="D113" s="1"/>
      <c r="E113" s="1"/>
      <c r="F113" s="1"/>
    </row>
    <row r="114" spans="3:6" ht="15" customHeight="1" x14ac:dyDescent="0.15">
      <c r="C114" s="1"/>
      <c r="D114" s="1"/>
      <c r="E114" s="1"/>
      <c r="F114" s="1"/>
    </row>
    <row r="115" spans="3:6" s="3" customFormat="1" ht="15" customHeight="1" x14ac:dyDescent="0.15"/>
    <row r="116" spans="3:6" s="3" customFormat="1" ht="15" customHeight="1" x14ac:dyDescent="0.15"/>
    <row r="117" spans="3:6" ht="15" customHeight="1" x14ac:dyDescent="0.15">
      <c r="C117" s="1"/>
      <c r="D117" s="1"/>
      <c r="E117" s="1"/>
      <c r="F117" s="1"/>
    </row>
    <row r="118" spans="3:6" ht="15" customHeight="1" x14ac:dyDescent="0.15">
      <c r="C118" s="1"/>
      <c r="D118" s="1"/>
      <c r="E118" s="1"/>
      <c r="F118" s="1"/>
    </row>
    <row r="119" spans="3:6" ht="15" customHeight="1" x14ac:dyDescent="0.15">
      <c r="C119" s="1"/>
      <c r="D119" s="1"/>
      <c r="E119" s="1"/>
      <c r="F119" s="1"/>
    </row>
    <row r="120" spans="3:6" ht="15" customHeight="1" x14ac:dyDescent="0.15">
      <c r="C120" s="1"/>
      <c r="D120" s="1"/>
      <c r="E120" s="1"/>
      <c r="F120" s="1"/>
    </row>
  </sheetData>
  <sheetProtection algorithmName="SHA-512" hashValue="YvRA0P2rBr1qZ5UbS4BzShS3udBz459GfOCKXZ2Y4NiZfxnkHF6D/qnjNNFgTzJJsX6wyi++/4NTW1Bx7RRapA==" saltValue="9r4xAbfugGAsfZthroEt/A==" spinCount="100000" sheet="1" objects="1" scenarios="1" selectLockedCells="1"/>
  <mergeCells count="4">
    <mergeCell ref="A3:C3"/>
    <mergeCell ref="A5:C5"/>
    <mergeCell ref="A1:C1"/>
    <mergeCell ref="B6:C6"/>
  </mergeCells>
  <phoneticPr fontId="1" type="noConversion"/>
  <pageMargins left="0.196527777777778" right="0.196527777777778" top="4.1666666666666701E-3" bottom="4.1666666666666701E-3" header="0.511811023622047" footer="0.511811023622047"/>
  <pageSetup paperSize="9" fitToWidth="0" orientation="portrait" useFirstPageNumber="1"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EE2A6-DB0D-4E51-96B2-8AD99B11832E}">
  <dimension ref="A1:F53"/>
  <sheetViews>
    <sheetView workbookViewId="0">
      <selection activeCell="A4" sqref="A4"/>
    </sheetView>
  </sheetViews>
  <sheetFormatPr baseColWidth="10" defaultRowHeight="12.75" x14ac:dyDescent="0.2"/>
  <cols>
    <col min="1" max="1" width="57" bestFit="1" customWidth="1"/>
    <col min="2" max="6" width="23.7109375" customWidth="1"/>
  </cols>
  <sheetData>
    <row r="1" spans="1:6" ht="15" customHeight="1" x14ac:dyDescent="0.25">
      <c r="A1" s="56" t="s">
        <v>6</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14</v>
      </c>
      <c r="B4" s="32" t="s">
        <v>121</v>
      </c>
      <c r="C4" s="33"/>
      <c r="D4" s="34"/>
      <c r="E4" s="35"/>
      <c r="F4" s="29">
        <f>C4*D4*E4</f>
        <v>0</v>
      </c>
    </row>
    <row r="5" spans="1:6" ht="15" customHeight="1" x14ac:dyDescent="0.2">
      <c r="A5" s="31"/>
      <c r="B5" s="32" t="s">
        <v>121</v>
      </c>
      <c r="C5" s="33"/>
      <c r="D5" s="34"/>
      <c r="E5" s="35"/>
      <c r="F5" s="29">
        <f t="shared" ref="F5:F48" si="0">C5*D5*E5</f>
        <v>0</v>
      </c>
    </row>
    <row r="6" spans="1:6" ht="15" customHeight="1" x14ac:dyDescent="0.2">
      <c r="A6" s="31"/>
      <c r="B6" s="32" t="s">
        <v>121</v>
      </c>
      <c r="C6" s="33"/>
      <c r="D6" s="34"/>
      <c r="E6" s="35"/>
      <c r="F6" s="29">
        <f t="shared" si="0"/>
        <v>0</v>
      </c>
    </row>
    <row r="7" spans="1:6" ht="15" customHeight="1" x14ac:dyDescent="0.2">
      <c r="A7" s="31"/>
      <c r="B7" s="32" t="s">
        <v>121</v>
      </c>
      <c r="C7" s="33"/>
      <c r="D7" s="34"/>
      <c r="E7" s="35"/>
      <c r="F7" s="29">
        <f t="shared" si="0"/>
        <v>0</v>
      </c>
    </row>
    <row r="8" spans="1:6" ht="15" customHeight="1" x14ac:dyDescent="0.2">
      <c r="A8" s="31"/>
      <c r="B8" s="32" t="s">
        <v>121</v>
      </c>
      <c r="C8" s="33"/>
      <c r="D8" s="34"/>
      <c r="E8" s="35"/>
      <c r="F8" s="29">
        <f t="shared" si="0"/>
        <v>0</v>
      </c>
    </row>
    <row r="9" spans="1:6" ht="15" customHeight="1" x14ac:dyDescent="0.2">
      <c r="A9" s="31"/>
      <c r="B9" s="32" t="s">
        <v>121</v>
      </c>
      <c r="C9" s="33"/>
      <c r="D9" s="34"/>
      <c r="E9" s="35"/>
      <c r="F9" s="29">
        <f t="shared" si="0"/>
        <v>0</v>
      </c>
    </row>
    <row r="10" spans="1:6" ht="15" customHeight="1" x14ac:dyDescent="0.2">
      <c r="A10" s="31"/>
      <c r="B10" s="32" t="s">
        <v>121</v>
      </c>
      <c r="C10" s="33"/>
      <c r="D10" s="34"/>
      <c r="E10" s="35"/>
      <c r="F10" s="29">
        <f t="shared" si="0"/>
        <v>0</v>
      </c>
    </row>
    <row r="11" spans="1:6" ht="15" customHeight="1" x14ac:dyDescent="0.2">
      <c r="A11" s="31"/>
      <c r="B11" s="32" t="s">
        <v>121</v>
      </c>
      <c r="C11" s="33"/>
      <c r="D11" s="34"/>
      <c r="E11" s="35"/>
      <c r="F11" s="29">
        <f t="shared" si="0"/>
        <v>0</v>
      </c>
    </row>
    <row r="12" spans="1:6" ht="15" customHeight="1" x14ac:dyDescent="0.2">
      <c r="A12" s="31"/>
      <c r="B12" s="32" t="s">
        <v>121</v>
      </c>
      <c r="C12" s="33"/>
      <c r="D12" s="34"/>
      <c r="E12" s="35"/>
      <c r="F12" s="29">
        <f t="shared" si="0"/>
        <v>0</v>
      </c>
    </row>
    <row r="13" spans="1:6" ht="15" customHeight="1" x14ac:dyDescent="0.2">
      <c r="A13" s="31" t="s">
        <v>15</v>
      </c>
      <c r="B13" s="32" t="s">
        <v>121</v>
      </c>
      <c r="C13" s="33"/>
      <c r="D13" s="34"/>
      <c r="E13" s="35"/>
      <c r="F13" s="29">
        <f t="shared" si="0"/>
        <v>0</v>
      </c>
    </row>
    <row r="14" spans="1:6" ht="15" customHeight="1" x14ac:dyDescent="0.2">
      <c r="A14" s="31"/>
      <c r="B14" s="32" t="s">
        <v>121</v>
      </c>
      <c r="C14" s="33"/>
      <c r="D14" s="34"/>
      <c r="E14" s="35"/>
      <c r="F14" s="29">
        <f t="shared" si="0"/>
        <v>0</v>
      </c>
    </row>
    <row r="15" spans="1:6" ht="15" customHeight="1" x14ac:dyDescent="0.2">
      <c r="A15" s="31"/>
      <c r="B15" s="32" t="s">
        <v>121</v>
      </c>
      <c r="C15" s="33"/>
      <c r="D15" s="34"/>
      <c r="E15" s="35"/>
      <c r="F15" s="29">
        <f t="shared" si="0"/>
        <v>0</v>
      </c>
    </row>
    <row r="16" spans="1:6" ht="15" customHeight="1" x14ac:dyDescent="0.2">
      <c r="A16" s="31"/>
      <c r="B16" s="32" t="s">
        <v>121</v>
      </c>
      <c r="C16" s="33"/>
      <c r="D16" s="34"/>
      <c r="E16" s="35"/>
      <c r="F16" s="29">
        <f t="shared" si="0"/>
        <v>0</v>
      </c>
    </row>
    <row r="17" spans="1:6" ht="15" customHeight="1" x14ac:dyDescent="0.2">
      <c r="A17" s="31"/>
      <c r="B17" s="32" t="s">
        <v>121</v>
      </c>
      <c r="C17" s="33"/>
      <c r="D17" s="34"/>
      <c r="E17" s="35"/>
      <c r="F17" s="29">
        <f t="shared" si="0"/>
        <v>0</v>
      </c>
    </row>
    <row r="18" spans="1:6" ht="15" customHeight="1" x14ac:dyDescent="0.2">
      <c r="A18" s="31"/>
      <c r="B18" s="32" t="s">
        <v>121</v>
      </c>
      <c r="C18" s="33"/>
      <c r="D18" s="34"/>
      <c r="E18" s="35"/>
      <c r="F18" s="29">
        <f t="shared" si="0"/>
        <v>0</v>
      </c>
    </row>
    <row r="19" spans="1:6" ht="15" customHeight="1" x14ac:dyDescent="0.2">
      <c r="A19" s="31"/>
      <c r="B19" s="32" t="s">
        <v>121</v>
      </c>
      <c r="C19" s="33"/>
      <c r="D19" s="34"/>
      <c r="E19" s="35"/>
      <c r="F19" s="29">
        <f t="shared" si="0"/>
        <v>0</v>
      </c>
    </row>
    <row r="20" spans="1:6" ht="15" customHeight="1" x14ac:dyDescent="0.2">
      <c r="A20" s="31"/>
      <c r="B20" s="32" t="s">
        <v>121</v>
      </c>
      <c r="C20" s="33"/>
      <c r="D20" s="34"/>
      <c r="E20" s="35"/>
      <c r="F20" s="29">
        <f t="shared" si="0"/>
        <v>0</v>
      </c>
    </row>
    <row r="21" spans="1:6" ht="15" customHeight="1" x14ac:dyDescent="0.2">
      <c r="A21" s="31"/>
      <c r="B21" s="32" t="s">
        <v>121</v>
      </c>
      <c r="C21" s="33"/>
      <c r="D21" s="34"/>
      <c r="E21" s="35"/>
      <c r="F21" s="29">
        <f t="shared" si="0"/>
        <v>0</v>
      </c>
    </row>
    <row r="22" spans="1:6" ht="15" customHeight="1" x14ac:dyDescent="0.2">
      <c r="A22" s="31" t="s">
        <v>16</v>
      </c>
      <c r="B22" s="32" t="s">
        <v>121</v>
      </c>
      <c r="C22" s="33"/>
      <c r="D22" s="34"/>
      <c r="E22" s="35"/>
      <c r="F22" s="29">
        <f t="shared" si="0"/>
        <v>0</v>
      </c>
    </row>
    <row r="23" spans="1:6" ht="15" customHeight="1" x14ac:dyDescent="0.2">
      <c r="A23" s="31"/>
      <c r="B23" s="32" t="s">
        <v>121</v>
      </c>
      <c r="C23" s="33"/>
      <c r="D23" s="34"/>
      <c r="E23" s="35"/>
      <c r="F23" s="29">
        <f t="shared" si="0"/>
        <v>0</v>
      </c>
    </row>
    <row r="24" spans="1:6" ht="15" customHeight="1" x14ac:dyDescent="0.2">
      <c r="A24" s="31"/>
      <c r="B24" s="32" t="s">
        <v>121</v>
      </c>
      <c r="C24" s="33"/>
      <c r="D24" s="34"/>
      <c r="E24" s="35"/>
      <c r="F24" s="29">
        <f t="shared" si="0"/>
        <v>0</v>
      </c>
    </row>
    <row r="25" spans="1:6" ht="15" customHeight="1" x14ac:dyDescent="0.2">
      <c r="A25" s="31"/>
      <c r="B25" s="32" t="s">
        <v>121</v>
      </c>
      <c r="C25" s="33"/>
      <c r="D25" s="34"/>
      <c r="E25" s="35"/>
      <c r="F25" s="29">
        <f t="shared" si="0"/>
        <v>0</v>
      </c>
    </row>
    <row r="26" spans="1:6" ht="15" customHeight="1" x14ac:dyDescent="0.2">
      <c r="A26" s="31"/>
      <c r="B26" s="32" t="s">
        <v>121</v>
      </c>
      <c r="C26" s="33"/>
      <c r="D26" s="34"/>
      <c r="E26" s="35"/>
      <c r="F26" s="29">
        <f t="shared" si="0"/>
        <v>0</v>
      </c>
    </row>
    <row r="27" spans="1:6" ht="15" customHeight="1" x14ac:dyDescent="0.2">
      <c r="A27" s="31"/>
      <c r="B27" s="32" t="s">
        <v>121</v>
      </c>
      <c r="C27" s="33"/>
      <c r="D27" s="34"/>
      <c r="E27" s="35"/>
      <c r="F27" s="29">
        <f t="shared" si="0"/>
        <v>0</v>
      </c>
    </row>
    <row r="28" spans="1:6" ht="15" customHeight="1" x14ac:dyDescent="0.2">
      <c r="A28" s="31"/>
      <c r="B28" s="32" t="s">
        <v>121</v>
      </c>
      <c r="C28" s="33"/>
      <c r="D28" s="34"/>
      <c r="E28" s="35"/>
      <c r="F28" s="29">
        <f t="shared" si="0"/>
        <v>0</v>
      </c>
    </row>
    <row r="29" spans="1:6" ht="15" customHeight="1" x14ac:dyDescent="0.2">
      <c r="A29" s="31"/>
      <c r="B29" s="32" t="s">
        <v>121</v>
      </c>
      <c r="C29" s="33"/>
      <c r="D29" s="34"/>
      <c r="E29" s="35"/>
      <c r="F29" s="29">
        <f t="shared" si="0"/>
        <v>0</v>
      </c>
    </row>
    <row r="30" spans="1:6" ht="15" customHeight="1" x14ac:dyDescent="0.2">
      <c r="A30" s="31"/>
      <c r="B30" s="32" t="s">
        <v>121</v>
      </c>
      <c r="C30" s="33"/>
      <c r="D30" s="34"/>
      <c r="E30" s="35"/>
      <c r="F30" s="29">
        <f t="shared" si="0"/>
        <v>0</v>
      </c>
    </row>
    <row r="31" spans="1:6" ht="15" customHeight="1" x14ac:dyDescent="0.2">
      <c r="A31" s="31" t="s">
        <v>17</v>
      </c>
      <c r="B31" s="32" t="s">
        <v>121</v>
      </c>
      <c r="C31" s="33"/>
      <c r="D31" s="34"/>
      <c r="E31" s="35"/>
      <c r="F31" s="29">
        <f t="shared" si="0"/>
        <v>0</v>
      </c>
    </row>
    <row r="32" spans="1:6" ht="15" customHeight="1" x14ac:dyDescent="0.2">
      <c r="A32" s="31"/>
      <c r="B32" s="32" t="s">
        <v>121</v>
      </c>
      <c r="C32" s="33"/>
      <c r="D32" s="34"/>
      <c r="E32" s="35"/>
      <c r="F32" s="29">
        <f t="shared" si="0"/>
        <v>0</v>
      </c>
    </row>
    <row r="33" spans="1:6" ht="15" customHeight="1" x14ac:dyDescent="0.2">
      <c r="A33" s="31"/>
      <c r="B33" s="32" t="s">
        <v>121</v>
      </c>
      <c r="C33" s="33"/>
      <c r="D33" s="34"/>
      <c r="E33" s="35"/>
      <c r="F33" s="29">
        <f t="shared" si="0"/>
        <v>0</v>
      </c>
    </row>
    <row r="34" spans="1:6" ht="15" customHeight="1" x14ac:dyDescent="0.2">
      <c r="A34" s="31"/>
      <c r="B34" s="32" t="s">
        <v>121</v>
      </c>
      <c r="C34" s="33"/>
      <c r="D34" s="34"/>
      <c r="E34" s="35"/>
      <c r="F34" s="29">
        <f t="shared" si="0"/>
        <v>0</v>
      </c>
    </row>
    <row r="35" spans="1:6" ht="15" customHeight="1" x14ac:dyDescent="0.2">
      <c r="A35" s="31"/>
      <c r="B35" s="32" t="s">
        <v>121</v>
      </c>
      <c r="C35" s="33"/>
      <c r="D35" s="34"/>
      <c r="E35" s="35"/>
      <c r="F35" s="29">
        <f t="shared" si="0"/>
        <v>0</v>
      </c>
    </row>
    <row r="36" spans="1:6" ht="15" customHeight="1" x14ac:dyDescent="0.2">
      <c r="A36" s="31"/>
      <c r="B36" s="32" t="s">
        <v>121</v>
      </c>
      <c r="C36" s="33"/>
      <c r="D36" s="34"/>
      <c r="E36" s="35"/>
      <c r="F36" s="29">
        <f t="shared" si="0"/>
        <v>0</v>
      </c>
    </row>
    <row r="37" spans="1:6" ht="15" customHeight="1" x14ac:dyDescent="0.2">
      <c r="A37" s="31"/>
      <c r="B37" s="32" t="s">
        <v>121</v>
      </c>
      <c r="C37" s="33"/>
      <c r="D37" s="34"/>
      <c r="E37" s="35"/>
      <c r="F37" s="29">
        <f t="shared" si="0"/>
        <v>0</v>
      </c>
    </row>
    <row r="38" spans="1:6" ht="15" customHeight="1" x14ac:dyDescent="0.2">
      <c r="A38" s="31"/>
      <c r="B38" s="32" t="s">
        <v>121</v>
      </c>
      <c r="C38" s="33"/>
      <c r="D38" s="34"/>
      <c r="E38" s="35"/>
      <c r="F38" s="29">
        <f t="shared" si="0"/>
        <v>0</v>
      </c>
    </row>
    <row r="39" spans="1:6" ht="15" customHeight="1" x14ac:dyDescent="0.2">
      <c r="A39" s="31"/>
      <c r="B39" s="32" t="s">
        <v>121</v>
      </c>
      <c r="C39" s="33"/>
      <c r="D39" s="34"/>
      <c r="E39" s="35"/>
      <c r="F39" s="29">
        <f t="shared" si="0"/>
        <v>0</v>
      </c>
    </row>
    <row r="40" spans="1:6" ht="15" customHeight="1" x14ac:dyDescent="0.2">
      <c r="A40" s="31" t="s">
        <v>18</v>
      </c>
      <c r="B40" s="32" t="s">
        <v>121</v>
      </c>
      <c r="C40" s="33"/>
      <c r="D40" s="34"/>
      <c r="E40" s="35"/>
      <c r="F40" s="29">
        <f t="shared" si="0"/>
        <v>0</v>
      </c>
    </row>
    <row r="41" spans="1:6" ht="15" customHeight="1" x14ac:dyDescent="0.2">
      <c r="A41" s="31"/>
      <c r="B41" s="32" t="s">
        <v>121</v>
      </c>
      <c r="C41" s="33"/>
      <c r="D41" s="34"/>
      <c r="E41" s="35"/>
      <c r="F41" s="29">
        <f t="shared" si="0"/>
        <v>0</v>
      </c>
    </row>
    <row r="42" spans="1:6" ht="15" customHeight="1" x14ac:dyDescent="0.2">
      <c r="A42" s="31"/>
      <c r="B42" s="32" t="s">
        <v>121</v>
      </c>
      <c r="C42" s="33"/>
      <c r="D42" s="34"/>
      <c r="E42" s="35"/>
      <c r="F42" s="29">
        <f t="shared" si="0"/>
        <v>0</v>
      </c>
    </row>
    <row r="43" spans="1:6" ht="15" customHeight="1" x14ac:dyDescent="0.2">
      <c r="A43" s="31"/>
      <c r="B43" s="32" t="s">
        <v>121</v>
      </c>
      <c r="C43" s="33"/>
      <c r="D43" s="34"/>
      <c r="E43" s="35"/>
      <c r="F43" s="29">
        <f t="shared" si="0"/>
        <v>0</v>
      </c>
    </row>
    <row r="44" spans="1:6" ht="15" customHeight="1" x14ac:dyDescent="0.2">
      <c r="A44" s="31"/>
      <c r="B44" s="32" t="s">
        <v>121</v>
      </c>
      <c r="C44" s="33"/>
      <c r="D44" s="34"/>
      <c r="E44" s="35"/>
      <c r="F44" s="29">
        <f t="shared" si="0"/>
        <v>0</v>
      </c>
    </row>
    <row r="45" spans="1:6" ht="15" customHeight="1" x14ac:dyDescent="0.2">
      <c r="A45" s="31"/>
      <c r="B45" s="32" t="s">
        <v>121</v>
      </c>
      <c r="C45" s="33"/>
      <c r="D45" s="34"/>
      <c r="E45" s="35"/>
      <c r="F45" s="29">
        <f t="shared" si="0"/>
        <v>0</v>
      </c>
    </row>
    <row r="46" spans="1:6" ht="15" customHeight="1" x14ac:dyDescent="0.2">
      <c r="A46" s="31"/>
      <c r="B46" s="32" t="s">
        <v>121</v>
      </c>
      <c r="C46" s="33"/>
      <c r="D46" s="34"/>
      <c r="E46" s="35"/>
      <c r="F46" s="29">
        <f t="shared" si="0"/>
        <v>0</v>
      </c>
    </row>
    <row r="47" spans="1:6" ht="15" customHeight="1" x14ac:dyDescent="0.2">
      <c r="A47" s="31"/>
      <c r="B47" s="32" t="s">
        <v>121</v>
      </c>
      <c r="C47" s="33"/>
      <c r="D47" s="34"/>
      <c r="E47" s="35"/>
      <c r="F47" s="29">
        <f t="shared" si="0"/>
        <v>0</v>
      </c>
    </row>
    <row r="48" spans="1:6" ht="15" customHeight="1" x14ac:dyDescent="0.2">
      <c r="A48" s="31"/>
      <c r="B48" s="32" t="s">
        <v>121</v>
      </c>
      <c r="C48" s="33"/>
      <c r="D48" s="34"/>
      <c r="E48" s="35"/>
      <c r="F48" s="29">
        <f t="shared" si="0"/>
        <v>0</v>
      </c>
    </row>
    <row r="49" spans="5:6" ht="15" customHeight="1" x14ac:dyDescent="0.2">
      <c r="E49" s="8" t="s">
        <v>126</v>
      </c>
      <c r="F49" s="30">
        <f>SUM(F4:F48)</f>
        <v>0</v>
      </c>
    </row>
    <row r="50" spans="5:6" ht="15" customHeight="1" x14ac:dyDescent="0.2"/>
    <row r="51" spans="5:6" ht="15" customHeight="1" x14ac:dyDescent="0.2"/>
    <row r="52" spans="5:6" ht="15" customHeight="1" x14ac:dyDescent="0.2"/>
    <row r="53" spans="5:6" ht="15" customHeight="1" x14ac:dyDescent="0.2"/>
  </sheetData>
  <sheetProtection algorithmName="SHA-512" hashValue="rnhgaiPDAotRVfW9x3ntDaVV5FOY+h/6ReADqu0Cs9bxMktmTVFAelxLgfAeXm57mxc0uAplEbKoGiQADIpjdg==" saltValue="kOfXbhtJ5I9PQ7+hvH6c5A==" spinCount="100000" sheet="1" objects="1" scenarios="1" selectLockedCells="1"/>
  <mergeCells count="1">
    <mergeCell ref="A1:F1"/>
  </mergeCells>
  <dataValidations count="1">
    <dataValidation type="list" allowBlank="1" showInputMessage="1" showErrorMessage="1" sqref="B4:B48" xr:uid="{D5DED133-B03C-47BD-BF5F-AB55461C496D}">
      <formula1>Unites</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A7BF-1DFF-4FCE-9D68-827CC57516AE}">
  <dimension ref="A1:F72"/>
  <sheetViews>
    <sheetView workbookViewId="0">
      <selection activeCell="A4" sqref="A4"/>
    </sheetView>
  </sheetViews>
  <sheetFormatPr baseColWidth="10" defaultRowHeight="12.75" x14ac:dyDescent="0.2"/>
  <cols>
    <col min="1" max="1" width="46.7109375" bestFit="1" customWidth="1"/>
    <col min="2" max="6" width="23.7109375" customWidth="1"/>
  </cols>
  <sheetData>
    <row r="1" spans="1:6" ht="15" customHeight="1" x14ac:dyDescent="0.25">
      <c r="A1" s="56" t="s">
        <v>7</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19</v>
      </c>
      <c r="B4" s="32" t="s">
        <v>121</v>
      </c>
      <c r="C4" s="33"/>
      <c r="D4" s="34"/>
      <c r="E4" s="35"/>
      <c r="F4" s="17">
        <f>C4*D4*E4</f>
        <v>0</v>
      </c>
    </row>
    <row r="5" spans="1:6" ht="15" customHeight="1" x14ac:dyDescent="0.2">
      <c r="A5" s="31"/>
      <c r="B5" s="32" t="s">
        <v>121</v>
      </c>
      <c r="C5" s="33"/>
      <c r="D5" s="34"/>
      <c r="E5" s="35"/>
      <c r="F5" s="17">
        <f t="shared" ref="F5:F66" si="0">C5*D5*E5</f>
        <v>0</v>
      </c>
    </row>
    <row r="6" spans="1:6" ht="15" customHeight="1" x14ac:dyDescent="0.2">
      <c r="A6" s="31"/>
      <c r="B6" s="32" t="s">
        <v>121</v>
      </c>
      <c r="C6" s="33"/>
      <c r="D6" s="34"/>
      <c r="E6" s="35"/>
      <c r="F6" s="17">
        <f t="shared" si="0"/>
        <v>0</v>
      </c>
    </row>
    <row r="7" spans="1:6" ht="15" customHeight="1" x14ac:dyDescent="0.2">
      <c r="A7" s="31"/>
      <c r="B7" s="32" t="s">
        <v>121</v>
      </c>
      <c r="C7" s="33"/>
      <c r="D7" s="34"/>
      <c r="E7" s="35"/>
      <c r="F7" s="17">
        <f t="shared" si="0"/>
        <v>0</v>
      </c>
    </row>
    <row r="8" spans="1:6" ht="15" customHeight="1" x14ac:dyDescent="0.2">
      <c r="A8" s="31"/>
      <c r="B8" s="32" t="s">
        <v>121</v>
      </c>
      <c r="C8" s="33"/>
      <c r="D8" s="34"/>
      <c r="E8" s="35"/>
      <c r="F8" s="17">
        <f t="shared" si="0"/>
        <v>0</v>
      </c>
    </row>
    <row r="9" spans="1:6" ht="15" customHeight="1" x14ac:dyDescent="0.2">
      <c r="A9" s="31"/>
      <c r="B9" s="32" t="s">
        <v>121</v>
      </c>
      <c r="C9" s="33"/>
      <c r="D9" s="34"/>
      <c r="E9" s="35"/>
      <c r="F9" s="17">
        <f t="shared" si="0"/>
        <v>0</v>
      </c>
    </row>
    <row r="10" spans="1:6" ht="15" customHeight="1" x14ac:dyDescent="0.2">
      <c r="A10" s="31"/>
      <c r="B10" s="32" t="s">
        <v>121</v>
      </c>
      <c r="C10" s="33"/>
      <c r="D10" s="34"/>
      <c r="E10" s="35"/>
      <c r="F10" s="17">
        <f t="shared" si="0"/>
        <v>0</v>
      </c>
    </row>
    <row r="11" spans="1:6" ht="15" customHeight="1" x14ac:dyDescent="0.2">
      <c r="A11" s="31"/>
      <c r="B11" s="32" t="s">
        <v>121</v>
      </c>
      <c r="C11" s="33"/>
      <c r="D11" s="34"/>
      <c r="E11" s="35"/>
      <c r="F11" s="17">
        <f t="shared" si="0"/>
        <v>0</v>
      </c>
    </row>
    <row r="12" spans="1:6" ht="15" customHeight="1" x14ac:dyDescent="0.2">
      <c r="A12" s="31"/>
      <c r="B12" s="32" t="s">
        <v>121</v>
      </c>
      <c r="C12" s="33"/>
      <c r="D12" s="34"/>
      <c r="E12" s="35"/>
      <c r="F12" s="17">
        <f t="shared" si="0"/>
        <v>0</v>
      </c>
    </row>
    <row r="13" spans="1:6" ht="15" customHeight="1" x14ac:dyDescent="0.2">
      <c r="A13" s="31" t="s">
        <v>20</v>
      </c>
      <c r="B13" s="32" t="s">
        <v>121</v>
      </c>
      <c r="C13" s="33"/>
      <c r="D13" s="34"/>
      <c r="E13" s="35"/>
      <c r="F13" s="17">
        <f t="shared" si="0"/>
        <v>0</v>
      </c>
    </row>
    <row r="14" spans="1:6" ht="15" customHeight="1" x14ac:dyDescent="0.2">
      <c r="A14" s="31"/>
      <c r="B14" s="32" t="s">
        <v>121</v>
      </c>
      <c r="C14" s="33"/>
      <c r="D14" s="34"/>
      <c r="E14" s="35"/>
      <c r="F14" s="17">
        <f t="shared" si="0"/>
        <v>0</v>
      </c>
    </row>
    <row r="15" spans="1:6" ht="15" customHeight="1" x14ac:dyDescent="0.2">
      <c r="A15" s="31"/>
      <c r="B15" s="32" t="s">
        <v>121</v>
      </c>
      <c r="C15" s="33"/>
      <c r="D15" s="34"/>
      <c r="E15" s="35"/>
      <c r="F15" s="17">
        <f t="shared" si="0"/>
        <v>0</v>
      </c>
    </row>
    <row r="16" spans="1:6" ht="15" customHeight="1" x14ac:dyDescent="0.2">
      <c r="A16" s="31"/>
      <c r="B16" s="32" t="s">
        <v>121</v>
      </c>
      <c r="C16" s="33"/>
      <c r="D16" s="34"/>
      <c r="E16" s="35"/>
      <c r="F16" s="17">
        <f t="shared" si="0"/>
        <v>0</v>
      </c>
    </row>
    <row r="17" spans="1:6" ht="15" customHeight="1" x14ac:dyDescent="0.2">
      <c r="A17" s="31"/>
      <c r="B17" s="32" t="s">
        <v>121</v>
      </c>
      <c r="C17" s="33"/>
      <c r="D17" s="34"/>
      <c r="E17" s="35"/>
      <c r="F17" s="17">
        <f t="shared" si="0"/>
        <v>0</v>
      </c>
    </row>
    <row r="18" spans="1:6" ht="15" customHeight="1" x14ac:dyDescent="0.2">
      <c r="A18" s="31"/>
      <c r="B18" s="32" t="s">
        <v>121</v>
      </c>
      <c r="C18" s="33"/>
      <c r="D18" s="34"/>
      <c r="E18" s="35"/>
      <c r="F18" s="17">
        <f t="shared" si="0"/>
        <v>0</v>
      </c>
    </row>
    <row r="19" spans="1:6" ht="15" customHeight="1" x14ac:dyDescent="0.2">
      <c r="A19" s="31"/>
      <c r="B19" s="32" t="s">
        <v>121</v>
      </c>
      <c r="C19" s="33"/>
      <c r="D19" s="34"/>
      <c r="E19" s="35"/>
      <c r="F19" s="17">
        <f t="shared" si="0"/>
        <v>0</v>
      </c>
    </row>
    <row r="20" spans="1:6" ht="15" customHeight="1" x14ac:dyDescent="0.2">
      <c r="A20" s="31"/>
      <c r="B20" s="32" t="s">
        <v>121</v>
      </c>
      <c r="C20" s="33"/>
      <c r="D20" s="34"/>
      <c r="E20" s="35"/>
      <c r="F20" s="17">
        <f t="shared" si="0"/>
        <v>0</v>
      </c>
    </row>
    <row r="21" spans="1:6" ht="15" customHeight="1" x14ac:dyDescent="0.2">
      <c r="A21" s="31"/>
      <c r="B21" s="32" t="s">
        <v>121</v>
      </c>
      <c r="C21" s="33"/>
      <c r="D21" s="34"/>
      <c r="E21" s="35"/>
      <c r="F21" s="17">
        <f t="shared" si="0"/>
        <v>0</v>
      </c>
    </row>
    <row r="22" spans="1:6" ht="15" customHeight="1" x14ac:dyDescent="0.2">
      <c r="A22" s="31" t="s">
        <v>21</v>
      </c>
      <c r="B22" s="32" t="s">
        <v>121</v>
      </c>
      <c r="C22" s="33"/>
      <c r="D22" s="34"/>
      <c r="E22" s="35"/>
      <c r="F22" s="17">
        <f t="shared" si="0"/>
        <v>0</v>
      </c>
    </row>
    <row r="23" spans="1:6" ht="15" customHeight="1" x14ac:dyDescent="0.2">
      <c r="A23" s="31"/>
      <c r="B23" s="32" t="s">
        <v>121</v>
      </c>
      <c r="C23" s="33"/>
      <c r="D23" s="34"/>
      <c r="E23" s="35"/>
      <c r="F23" s="17">
        <f t="shared" si="0"/>
        <v>0</v>
      </c>
    </row>
    <row r="24" spans="1:6" ht="15" customHeight="1" x14ac:dyDescent="0.2">
      <c r="A24" s="31"/>
      <c r="B24" s="32" t="s">
        <v>121</v>
      </c>
      <c r="C24" s="33"/>
      <c r="D24" s="34"/>
      <c r="E24" s="35"/>
      <c r="F24" s="17">
        <f t="shared" si="0"/>
        <v>0</v>
      </c>
    </row>
    <row r="25" spans="1:6" ht="15" customHeight="1" x14ac:dyDescent="0.2">
      <c r="A25" s="31"/>
      <c r="B25" s="32" t="s">
        <v>121</v>
      </c>
      <c r="C25" s="33"/>
      <c r="D25" s="34"/>
      <c r="E25" s="35"/>
      <c r="F25" s="17">
        <f t="shared" si="0"/>
        <v>0</v>
      </c>
    </row>
    <row r="26" spans="1:6" ht="15" customHeight="1" x14ac:dyDescent="0.2">
      <c r="A26" s="31"/>
      <c r="B26" s="32" t="s">
        <v>121</v>
      </c>
      <c r="C26" s="33"/>
      <c r="D26" s="34"/>
      <c r="E26" s="35"/>
      <c r="F26" s="17">
        <f t="shared" si="0"/>
        <v>0</v>
      </c>
    </row>
    <row r="27" spans="1:6" ht="15" customHeight="1" x14ac:dyDescent="0.2">
      <c r="A27" s="31"/>
      <c r="B27" s="32" t="s">
        <v>121</v>
      </c>
      <c r="C27" s="33"/>
      <c r="D27" s="34"/>
      <c r="E27" s="35"/>
      <c r="F27" s="17">
        <f t="shared" si="0"/>
        <v>0</v>
      </c>
    </row>
    <row r="28" spans="1:6" ht="15" customHeight="1" x14ac:dyDescent="0.2">
      <c r="A28" s="31"/>
      <c r="B28" s="32" t="s">
        <v>121</v>
      </c>
      <c r="C28" s="33"/>
      <c r="D28" s="34"/>
      <c r="E28" s="35"/>
      <c r="F28" s="17">
        <f t="shared" si="0"/>
        <v>0</v>
      </c>
    </row>
    <row r="29" spans="1:6" ht="15" customHeight="1" x14ac:dyDescent="0.2">
      <c r="A29" s="31"/>
      <c r="B29" s="32" t="s">
        <v>121</v>
      </c>
      <c r="C29" s="33"/>
      <c r="D29" s="34"/>
      <c r="E29" s="35"/>
      <c r="F29" s="17">
        <f t="shared" si="0"/>
        <v>0</v>
      </c>
    </row>
    <row r="30" spans="1:6" ht="15" customHeight="1" x14ac:dyDescent="0.2">
      <c r="A30" s="31"/>
      <c r="B30" s="32" t="s">
        <v>121</v>
      </c>
      <c r="C30" s="33"/>
      <c r="D30" s="34"/>
      <c r="E30" s="35"/>
      <c r="F30" s="17">
        <f t="shared" si="0"/>
        <v>0</v>
      </c>
    </row>
    <row r="31" spans="1:6" ht="15" customHeight="1" x14ac:dyDescent="0.2">
      <c r="A31" s="31" t="s">
        <v>22</v>
      </c>
      <c r="B31" s="32" t="s">
        <v>121</v>
      </c>
      <c r="C31" s="33"/>
      <c r="D31" s="34"/>
      <c r="E31" s="35"/>
      <c r="F31" s="17">
        <f t="shared" si="0"/>
        <v>0</v>
      </c>
    </row>
    <row r="32" spans="1:6" ht="15" customHeight="1" x14ac:dyDescent="0.2">
      <c r="A32" s="31"/>
      <c r="B32" s="32" t="s">
        <v>121</v>
      </c>
      <c r="C32" s="33"/>
      <c r="D32" s="34"/>
      <c r="E32" s="35"/>
      <c r="F32" s="17">
        <f t="shared" si="0"/>
        <v>0</v>
      </c>
    </row>
    <row r="33" spans="1:6" ht="15" customHeight="1" x14ac:dyDescent="0.2">
      <c r="A33" s="31"/>
      <c r="B33" s="32" t="s">
        <v>121</v>
      </c>
      <c r="C33" s="33"/>
      <c r="D33" s="34"/>
      <c r="E33" s="35"/>
      <c r="F33" s="17">
        <f t="shared" si="0"/>
        <v>0</v>
      </c>
    </row>
    <row r="34" spans="1:6" ht="15" customHeight="1" x14ac:dyDescent="0.2">
      <c r="A34" s="31"/>
      <c r="B34" s="32" t="s">
        <v>121</v>
      </c>
      <c r="C34" s="33"/>
      <c r="D34" s="34"/>
      <c r="E34" s="35"/>
      <c r="F34" s="17">
        <f t="shared" si="0"/>
        <v>0</v>
      </c>
    </row>
    <row r="35" spans="1:6" ht="15" customHeight="1" x14ac:dyDescent="0.2">
      <c r="A35" s="31"/>
      <c r="B35" s="32" t="s">
        <v>121</v>
      </c>
      <c r="C35" s="33"/>
      <c r="D35" s="34"/>
      <c r="E35" s="35"/>
      <c r="F35" s="17">
        <f t="shared" si="0"/>
        <v>0</v>
      </c>
    </row>
    <row r="36" spans="1:6" ht="15" customHeight="1" x14ac:dyDescent="0.2">
      <c r="A36" s="31"/>
      <c r="B36" s="32" t="s">
        <v>121</v>
      </c>
      <c r="C36" s="33"/>
      <c r="D36" s="34"/>
      <c r="E36" s="35"/>
      <c r="F36" s="17">
        <f t="shared" si="0"/>
        <v>0</v>
      </c>
    </row>
    <row r="37" spans="1:6" ht="15" customHeight="1" x14ac:dyDescent="0.2">
      <c r="A37" s="31"/>
      <c r="B37" s="32" t="s">
        <v>121</v>
      </c>
      <c r="C37" s="33"/>
      <c r="D37" s="34"/>
      <c r="E37" s="35"/>
      <c r="F37" s="17">
        <f t="shared" si="0"/>
        <v>0</v>
      </c>
    </row>
    <row r="38" spans="1:6" ht="15" customHeight="1" x14ac:dyDescent="0.2">
      <c r="A38" s="31"/>
      <c r="B38" s="32" t="s">
        <v>121</v>
      </c>
      <c r="C38" s="33"/>
      <c r="D38" s="34"/>
      <c r="E38" s="35"/>
      <c r="F38" s="17">
        <f t="shared" si="0"/>
        <v>0</v>
      </c>
    </row>
    <row r="39" spans="1:6" ht="15" customHeight="1" x14ac:dyDescent="0.2">
      <c r="A39" s="31"/>
      <c r="B39" s="32" t="s">
        <v>121</v>
      </c>
      <c r="C39" s="33"/>
      <c r="D39" s="34"/>
      <c r="E39" s="35"/>
      <c r="F39" s="17">
        <f t="shared" si="0"/>
        <v>0</v>
      </c>
    </row>
    <row r="40" spans="1:6" ht="15" customHeight="1" x14ac:dyDescent="0.2">
      <c r="A40" s="31" t="s">
        <v>23</v>
      </c>
      <c r="B40" s="32" t="s">
        <v>121</v>
      </c>
      <c r="C40" s="33"/>
      <c r="D40" s="34"/>
      <c r="E40" s="35"/>
      <c r="F40" s="17">
        <f t="shared" si="0"/>
        <v>0</v>
      </c>
    </row>
    <row r="41" spans="1:6" ht="15" customHeight="1" x14ac:dyDescent="0.2">
      <c r="A41" s="31"/>
      <c r="B41" s="32" t="s">
        <v>121</v>
      </c>
      <c r="C41" s="33"/>
      <c r="D41" s="34"/>
      <c r="E41" s="35"/>
      <c r="F41" s="17">
        <f t="shared" si="0"/>
        <v>0</v>
      </c>
    </row>
    <row r="42" spans="1:6" ht="15" customHeight="1" x14ac:dyDescent="0.2">
      <c r="A42" s="31"/>
      <c r="B42" s="32" t="s">
        <v>121</v>
      </c>
      <c r="C42" s="33"/>
      <c r="D42" s="34"/>
      <c r="E42" s="35"/>
      <c r="F42" s="17">
        <f t="shared" si="0"/>
        <v>0</v>
      </c>
    </row>
    <row r="43" spans="1:6" ht="15" customHeight="1" x14ac:dyDescent="0.2">
      <c r="A43" s="31"/>
      <c r="B43" s="32" t="s">
        <v>121</v>
      </c>
      <c r="C43" s="33"/>
      <c r="D43" s="34"/>
      <c r="E43" s="35"/>
      <c r="F43" s="17">
        <f t="shared" si="0"/>
        <v>0</v>
      </c>
    </row>
    <row r="44" spans="1:6" ht="15" customHeight="1" x14ac:dyDescent="0.2">
      <c r="A44" s="31"/>
      <c r="B44" s="32" t="s">
        <v>121</v>
      </c>
      <c r="C44" s="33"/>
      <c r="D44" s="34"/>
      <c r="E44" s="35"/>
      <c r="F44" s="17">
        <f t="shared" si="0"/>
        <v>0</v>
      </c>
    </row>
    <row r="45" spans="1:6" ht="15" customHeight="1" x14ac:dyDescent="0.2">
      <c r="A45" s="31"/>
      <c r="B45" s="32" t="s">
        <v>121</v>
      </c>
      <c r="C45" s="33"/>
      <c r="D45" s="34"/>
      <c r="E45" s="35"/>
      <c r="F45" s="17">
        <f t="shared" si="0"/>
        <v>0</v>
      </c>
    </row>
    <row r="46" spans="1:6" ht="15" customHeight="1" x14ac:dyDescent="0.2">
      <c r="A46" s="31"/>
      <c r="B46" s="32" t="s">
        <v>121</v>
      </c>
      <c r="C46" s="33"/>
      <c r="D46" s="34"/>
      <c r="E46" s="35"/>
      <c r="F46" s="17">
        <f t="shared" si="0"/>
        <v>0</v>
      </c>
    </row>
    <row r="47" spans="1:6" ht="15" customHeight="1" x14ac:dyDescent="0.2">
      <c r="A47" s="31"/>
      <c r="B47" s="32" t="s">
        <v>121</v>
      </c>
      <c r="C47" s="33"/>
      <c r="D47" s="34"/>
      <c r="E47" s="35"/>
      <c r="F47" s="17">
        <f t="shared" si="0"/>
        <v>0</v>
      </c>
    </row>
    <row r="48" spans="1:6" ht="15" customHeight="1" x14ac:dyDescent="0.2">
      <c r="A48" s="31"/>
      <c r="B48" s="32" t="s">
        <v>121</v>
      </c>
      <c r="C48" s="33"/>
      <c r="D48" s="34"/>
      <c r="E48" s="35"/>
      <c r="F48" s="17">
        <f t="shared" si="0"/>
        <v>0</v>
      </c>
    </row>
    <row r="49" spans="1:6" ht="15" customHeight="1" x14ac:dyDescent="0.2">
      <c r="A49" s="31" t="s">
        <v>24</v>
      </c>
      <c r="B49" s="32" t="s">
        <v>121</v>
      </c>
      <c r="C49" s="33"/>
      <c r="D49" s="34"/>
      <c r="E49" s="35"/>
      <c r="F49" s="17">
        <f t="shared" si="0"/>
        <v>0</v>
      </c>
    </row>
    <row r="50" spans="1:6" ht="15" customHeight="1" x14ac:dyDescent="0.2">
      <c r="A50" s="31"/>
      <c r="B50" s="32" t="s">
        <v>121</v>
      </c>
      <c r="C50" s="33"/>
      <c r="D50" s="34"/>
      <c r="E50" s="35"/>
      <c r="F50" s="17">
        <f t="shared" si="0"/>
        <v>0</v>
      </c>
    </row>
    <row r="51" spans="1:6" ht="15" customHeight="1" x14ac:dyDescent="0.2">
      <c r="A51" s="31"/>
      <c r="B51" s="32" t="s">
        <v>121</v>
      </c>
      <c r="C51" s="33"/>
      <c r="D51" s="34"/>
      <c r="E51" s="35"/>
      <c r="F51" s="17">
        <f t="shared" si="0"/>
        <v>0</v>
      </c>
    </row>
    <row r="52" spans="1:6" ht="15" customHeight="1" x14ac:dyDescent="0.2">
      <c r="A52" s="31"/>
      <c r="B52" s="32" t="s">
        <v>121</v>
      </c>
      <c r="C52" s="33"/>
      <c r="D52" s="34"/>
      <c r="E52" s="35"/>
      <c r="F52" s="17">
        <f t="shared" si="0"/>
        <v>0</v>
      </c>
    </row>
    <row r="53" spans="1:6" ht="15" customHeight="1" x14ac:dyDescent="0.2">
      <c r="A53" s="31"/>
      <c r="B53" s="32" t="s">
        <v>121</v>
      </c>
      <c r="C53" s="33"/>
      <c r="D53" s="34"/>
      <c r="E53" s="35"/>
      <c r="F53" s="17">
        <f t="shared" si="0"/>
        <v>0</v>
      </c>
    </row>
    <row r="54" spans="1:6" ht="15" customHeight="1" x14ac:dyDescent="0.2">
      <c r="A54" s="31"/>
      <c r="B54" s="32" t="s">
        <v>121</v>
      </c>
      <c r="C54" s="33"/>
      <c r="D54" s="34"/>
      <c r="E54" s="35"/>
      <c r="F54" s="17">
        <f t="shared" si="0"/>
        <v>0</v>
      </c>
    </row>
    <row r="55" spans="1:6" ht="15" customHeight="1" x14ac:dyDescent="0.2">
      <c r="A55" s="31"/>
      <c r="B55" s="32" t="s">
        <v>121</v>
      </c>
      <c r="C55" s="33"/>
      <c r="D55" s="34"/>
      <c r="E55" s="35"/>
      <c r="F55" s="17">
        <f t="shared" si="0"/>
        <v>0</v>
      </c>
    </row>
    <row r="56" spans="1:6" ht="15" customHeight="1" x14ac:dyDescent="0.2">
      <c r="A56" s="31"/>
      <c r="B56" s="32" t="s">
        <v>121</v>
      </c>
      <c r="C56" s="33"/>
      <c r="D56" s="34"/>
      <c r="E56" s="35"/>
      <c r="F56" s="17">
        <f t="shared" si="0"/>
        <v>0</v>
      </c>
    </row>
    <row r="57" spans="1:6" ht="15" customHeight="1" x14ac:dyDescent="0.2">
      <c r="A57" s="31"/>
      <c r="B57" s="32" t="s">
        <v>121</v>
      </c>
      <c r="C57" s="33"/>
      <c r="D57" s="34"/>
      <c r="E57" s="35"/>
      <c r="F57" s="17">
        <f t="shared" si="0"/>
        <v>0</v>
      </c>
    </row>
    <row r="58" spans="1:6" ht="15" customHeight="1" x14ac:dyDescent="0.2">
      <c r="A58" s="31" t="s">
        <v>25</v>
      </c>
      <c r="B58" s="32" t="s">
        <v>121</v>
      </c>
      <c r="C58" s="33"/>
      <c r="D58" s="34"/>
      <c r="E58" s="35"/>
      <c r="F58" s="17">
        <f t="shared" si="0"/>
        <v>0</v>
      </c>
    </row>
    <row r="59" spans="1:6" ht="15" customHeight="1" x14ac:dyDescent="0.2">
      <c r="A59" s="31"/>
      <c r="B59" s="32" t="s">
        <v>121</v>
      </c>
      <c r="C59" s="33"/>
      <c r="D59" s="34"/>
      <c r="E59" s="35"/>
      <c r="F59" s="17">
        <f t="shared" si="0"/>
        <v>0</v>
      </c>
    </row>
    <row r="60" spans="1:6" ht="15" customHeight="1" x14ac:dyDescent="0.2">
      <c r="A60" s="31"/>
      <c r="B60" s="32" t="s">
        <v>121</v>
      </c>
      <c r="C60" s="33"/>
      <c r="D60" s="34"/>
      <c r="E60" s="35"/>
      <c r="F60" s="17">
        <f t="shared" si="0"/>
        <v>0</v>
      </c>
    </row>
    <row r="61" spans="1:6" ht="15" customHeight="1" x14ac:dyDescent="0.2">
      <c r="A61" s="31"/>
      <c r="B61" s="32" t="s">
        <v>121</v>
      </c>
      <c r="C61" s="33"/>
      <c r="D61" s="34"/>
      <c r="E61" s="35"/>
      <c r="F61" s="17">
        <f t="shared" si="0"/>
        <v>0</v>
      </c>
    </row>
    <row r="62" spans="1:6" ht="15" customHeight="1" x14ac:dyDescent="0.2">
      <c r="A62" s="31"/>
      <c r="B62" s="32" t="s">
        <v>121</v>
      </c>
      <c r="C62" s="33"/>
      <c r="D62" s="34"/>
      <c r="E62" s="35"/>
      <c r="F62" s="17">
        <f t="shared" si="0"/>
        <v>0</v>
      </c>
    </row>
    <row r="63" spans="1:6" ht="15" customHeight="1" x14ac:dyDescent="0.2">
      <c r="A63" s="31"/>
      <c r="B63" s="32" t="s">
        <v>121</v>
      </c>
      <c r="C63" s="33"/>
      <c r="D63" s="34"/>
      <c r="E63" s="35"/>
      <c r="F63" s="17">
        <f t="shared" si="0"/>
        <v>0</v>
      </c>
    </row>
    <row r="64" spans="1:6" ht="15" customHeight="1" x14ac:dyDescent="0.2">
      <c r="A64" s="31"/>
      <c r="B64" s="32" t="s">
        <v>121</v>
      </c>
      <c r="C64" s="33"/>
      <c r="D64" s="34"/>
      <c r="E64" s="35"/>
      <c r="F64" s="17">
        <f t="shared" si="0"/>
        <v>0</v>
      </c>
    </row>
    <row r="65" spans="1:6" ht="15" customHeight="1" x14ac:dyDescent="0.2">
      <c r="A65" s="31"/>
      <c r="B65" s="32" t="s">
        <v>121</v>
      </c>
      <c r="C65" s="33"/>
      <c r="D65" s="34"/>
      <c r="E65" s="35"/>
      <c r="F65" s="17">
        <f t="shared" si="0"/>
        <v>0</v>
      </c>
    </row>
    <row r="66" spans="1:6" ht="15" customHeight="1" x14ac:dyDescent="0.2">
      <c r="A66" s="31"/>
      <c r="B66" s="32" t="s">
        <v>121</v>
      </c>
      <c r="C66" s="33"/>
      <c r="D66" s="34"/>
      <c r="E66" s="35"/>
      <c r="F66" s="17">
        <f t="shared" si="0"/>
        <v>0</v>
      </c>
    </row>
    <row r="67" spans="1:6" ht="15" customHeight="1" x14ac:dyDescent="0.2">
      <c r="E67" s="8" t="s">
        <v>126</v>
      </c>
      <c r="F67" s="28">
        <f>SUM(F4:F66)</f>
        <v>0</v>
      </c>
    </row>
    <row r="68" spans="1:6" ht="15" customHeight="1" x14ac:dyDescent="0.2"/>
    <row r="69" spans="1:6" ht="15" customHeight="1" x14ac:dyDescent="0.2"/>
    <row r="70" spans="1:6" ht="15" customHeight="1" x14ac:dyDescent="0.2"/>
    <row r="71" spans="1:6" ht="15" customHeight="1" x14ac:dyDescent="0.2"/>
    <row r="72" spans="1:6" ht="15" customHeight="1" x14ac:dyDescent="0.2"/>
  </sheetData>
  <sheetProtection algorithmName="SHA-512" hashValue="qQNv2xVj2HWoQ3KqTaoVYjSvanIZxH4Vgqbxc+NrK1HTc9lsyIbN09M7vytGoOozOZj4QT5ugnYoRxcS9LCl/w==" saltValue="nucIlKsDbU35XXc8wJVWBg==" spinCount="100000" sheet="1" objects="1" scenarios="1" selectLockedCells="1"/>
  <mergeCells count="1">
    <mergeCell ref="A1:F1"/>
  </mergeCells>
  <dataValidations count="1">
    <dataValidation type="list" allowBlank="1" showInputMessage="1" showErrorMessage="1" sqref="B4:B66" xr:uid="{D965AA42-E605-4D0C-9496-613B9B9BE53A}">
      <formula1>Unites</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6E15-0813-4660-958A-A43B677B7C65}">
  <dimension ref="A1:F47"/>
  <sheetViews>
    <sheetView workbookViewId="0">
      <selection activeCell="A4" sqref="A4"/>
    </sheetView>
  </sheetViews>
  <sheetFormatPr baseColWidth="10" defaultRowHeight="12.75" x14ac:dyDescent="0.2"/>
  <cols>
    <col min="1" max="1" width="36.42578125" bestFit="1" customWidth="1"/>
    <col min="2" max="6" width="23.7109375" customWidth="1"/>
  </cols>
  <sheetData>
    <row r="1" spans="1:6" ht="15" customHeight="1" x14ac:dyDescent="0.25">
      <c r="A1" s="56" t="s">
        <v>8</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26</v>
      </c>
      <c r="B4" s="32" t="s">
        <v>121</v>
      </c>
      <c r="C4" s="33"/>
      <c r="D4" s="34"/>
      <c r="E4" s="35"/>
      <c r="F4" s="17">
        <f>C4*D4*E4</f>
        <v>0</v>
      </c>
    </row>
    <row r="5" spans="1:6" ht="15" customHeight="1" x14ac:dyDescent="0.2">
      <c r="A5" s="31"/>
      <c r="B5" s="32" t="s">
        <v>121</v>
      </c>
      <c r="C5" s="33"/>
      <c r="D5" s="34"/>
      <c r="E5" s="35"/>
      <c r="F5" s="17">
        <f t="shared" ref="F5:F39" si="0">C5*D5*E5</f>
        <v>0</v>
      </c>
    </row>
    <row r="6" spans="1:6" ht="15" customHeight="1" x14ac:dyDescent="0.2">
      <c r="A6" s="31"/>
      <c r="B6" s="32" t="s">
        <v>121</v>
      </c>
      <c r="C6" s="33"/>
      <c r="D6" s="34"/>
      <c r="E6" s="35"/>
      <c r="F6" s="17">
        <f t="shared" si="0"/>
        <v>0</v>
      </c>
    </row>
    <row r="7" spans="1:6" ht="15" customHeight="1" x14ac:dyDescent="0.2">
      <c r="A7" s="31"/>
      <c r="B7" s="32" t="s">
        <v>121</v>
      </c>
      <c r="C7" s="33"/>
      <c r="D7" s="34"/>
      <c r="E7" s="35"/>
      <c r="F7" s="17">
        <f t="shared" si="0"/>
        <v>0</v>
      </c>
    </row>
    <row r="8" spans="1:6" ht="15" customHeight="1" x14ac:dyDescent="0.2">
      <c r="A8" s="31"/>
      <c r="B8" s="32" t="s">
        <v>121</v>
      </c>
      <c r="C8" s="33"/>
      <c r="D8" s="34"/>
      <c r="E8" s="35"/>
      <c r="F8" s="17">
        <f t="shared" si="0"/>
        <v>0</v>
      </c>
    </row>
    <row r="9" spans="1:6" ht="15" customHeight="1" x14ac:dyDescent="0.2">
      <c r="A9" s="31"/>
      <c r="B9" s="32" t="s">
        <v>121</v>
      </c>
      <c r="C9" s="33"/>
      <c r="D9" s="34"/>
      <c r="E9" s="35"/>
      <c r="F9" s="17">
        <f t="shared" si="0"/>
        <v>0</v>
      </c>
    </row>
    <row r="10" spans="1:6" ht="15" customHeight="1" x14ac:dyDescent="0.2">
      <c r="A10" s="31"/>
      <c r="B10" s="32" t="s">
        <v>121</v>
      </c>
      <c r="C10" s="33"/>
      <c r="D10" s="34"/>
      <c r="E10" s="35"/>
      <c r="F10" s="17">
        <f t="shared" si="0"/>
        <v>0</v>
      </c>
    </row>
    <row r="11" spans="1:6" ht="15" customHeight="1" x14ac:dyDescent="0.2">
      <c r="A11" s="31"/>
      <c r="B11" s="32" t="s">
        <v>121</v>
      </c>
      <c r="C11" s="33"/>
      <c r="D11" s="34"/>
      <c r="E11" s="35"/>
      <c r="F11" s="17">
        <f t="shared" si="0"/>
        <v>0</v>
      </c>
    </row>
    <row r="12" spans="1:6" ht="15" customHeight="1" x14ac:dyDescent="0.2">
      <c r="A12" s="31"/>
      <c r="B12" s="32" t="s">
        <v>121</v>
      </c>
      <c r="C12" s="33"/>
      <c r="D12" s="34"/>
      <c r="E12" s="35"/>
      <c r="F12" s="17">
        <f t="shared" si="0"/>
        <v>0</v>
      </c>
    </row>
    <row r="13" spans="1:6" ht="15" customHeight="1" x14ac:dyDescent="0.2">
      <c r="A13" s="31" t="s">
        <v>27</v>
      </c>
      <c r="B13" s="32" t="s">
        <v>121</v>
      </c>
      <c r="C13" s="33"/>
      <c r="D13" s="34"/>
      <c r="E13" s="35"/>
      <c r="F13" s="17">
        <f t="shared" si="0"/>
        <v>0</v>
      </c>
    </row>
    <row r="14" spans="1:6" ht="15" customHeight="1" x14ac:dyDescent="0.2">
      <c r="A14" s="31"/>
      <c r="B14" s="32" t="s">
        <v>121</v>
      </c>
      <c r="C14" s="33"/>
      <c r="D14" s="34"/>
      <c r="E14" s="35"/>
      <c r="F14" s="17">
        <f t="shared" si="0"/>
        <v>0</v>
      </c>
    </row>
    <row r="15" spans="1:6" ht="15" customHeight="1" x14ac:dyDescent="0.2">
      <c r="A15" s="31"/>
      <c r="B15" s="32" t="s">
        <v>121</v>
      </c>
      <c r="C15" s="33"/>
      <c r="D15" s="34"/>
      <c r="E15" s="35"/>
      <c r="F15" s="17">
        <f t="shared" si="0"/>
        <v>0</v>
      </c>
    </row>
    <row r="16" spans="1:6" ht="15" customHeight="1" x14ac:dyDescent="0.2">
      <c r="A16" s="31"/>
      <c r="B16" s="32" t="s">
        <v>121</v>
      </c>
      <c r="C16" s="33"/>
      <c r="D16" s="34"/>
      <c r="E16" s="35"/>
      <c r="F16" s="17">
        <f t="shared" si="0"/>
        <v>0</v>
      </c>
    </row>
    <row r="17" spans="1:6" ht="15" customHeight="1" x14ac:dyDescent="0.2">
      <c r="A17" s="31"/>
      <c r="B17" s="32" t="s">
        <v>121</v>
      </c>
      <c r="C17" s="33"/>
      <c r="D17" s="34"/>
      <c r="E17" s="35"/>
      <c r="F17" s="17">
        <f t="shared" si="0"/>
        <v>0</v>
      </c>
    </row>
    <row r="18" spans="1:6" ht="15" customHeight="1" x14ac:dyDescent="0.2">
      <c r="A18" s="31"/>
      <c r="B18" s="32" t="s">
        <v>121</v>
      </c>
      <c r="C18" s="33"/>
      <c r="D18" s="34"/>
      <c r="E18" s="35"/>
      <c r="F18" s="17">
        <f t="shared" si="0"/>
        <v>0</v>
      </c>
    </row>
    <row r="19" spans="1:6" ht="15" customHeight="1" x14ac:dyDescent="0.2">
      <c r="A19" s="31"/>
      <c r="B19" s="32" t="s">
        <v>121</v>
      </c>
      <c r="C19" s="33"/>
      <c r="D19" s="34"/>
      <c r="E19" s="35"/>
      <c r="F19" s="17">
        <f t="shared" si="0"/>
        <v>0</v>
      </c>
    </row>
    <row r="20" spans="1:6" ht="15" customHeight="1" x14ac:dyDescent="0.2">
      <c r="A20" s="31"/>
      <c r="B20" s="32" t="s">
        <v>121</v>
      </c>
      <c r="C20" s="33"/>
      <c r="D20" s="34"/>
      <c r="E20" s="35"/>
      <c r="F20" s="17">
        <f t="shared" si="0"/>
        <v>0</v>
      </c>
    </row>
    <row r="21" spans="1:6" ht="15" customHeight="1" x14ac:dyDescent="0.2">
      <c r="A21" s="31"/>
      <c r="B21" s="32" t="s">
        <v>121</v>
      </c>
      <c r="C21" s="33"/>
      <c r="D21" s="34"/>
      <c r="E21" s="35"/>
      <c r="F21" s="17">
        <f t="shared" si="0"/>
        <v>0</v>
      </c>
    </row>
    <row r="22" spans="1:6" ht="15" customHeight="1" x14ac:dyDescent="0.2">
      <c r="A22" s="31" t="s">
        <v>28</v>
      </c>
      <c r="B22" s="32" t="s">
        <v>121</v>
      </c>
      <c r="C22" s="33"/>
      <c r="D22" s="34"/>
      <c r="E22" s="35"/>
      <c r="F22" s="17">
        <f t="shared" si="0"/>
        <v>0</v>
      </c>
    </row>
    <row r="23" spans="1:6" ht="15" customHeight="1" x14ac:dyDescent="0.2">
      <c r="A23" s="31"/>
      <c r="B23" s="32" t="s">
        <v>121</v>
      </c>
      <c r="C23" s="33"/>
      <c r="D23" s="34"/>
      <c r="E23" s="35"/>
      <c r="F23" s="17">
        <f t="shared" si="0"/>
        <v>0</v>
      </c>
    </row>
    <row r="24" spans="1:6" ht="15" customHeight="1" x14ac:dyDescent="0.2">
      <c r="A24" s="31"/>
      <c r="B24" s="32" t="s">
        <v>121</v>
      </c>
      <c r="C24" s="33"/>
      <c r="D24" s="34"/>
      <c r="E24" s="35"/>
      <c r="F24" s="17">
        <f t="shared" si="0"/>
        <v>0</v>
      </c>
    </row>
    <row r="25" spans="1:6" ht="15" customHeight="1" x14ac:dyDescent="0.2">
      <c r="A25" s="31"/>
      <c r="B25" s="32" t="s">
        <v>121</v>
      </c>
      <c r="C25" s="33"/>
      <c r="D25" s="34"/>
      <c r="E25" s="35"/>
      <c r="F25" s="17">
        <f t="shared" si="0"/>
        <v>0</v>
      </c>
    </row>
    <row r="26" spans="1:6" ht="15" customHeight="1" x14ac:dyDescent="0.2">
      <c r="A26" s="31"/>
      <c r="B26" s="32" t="s">
        <v>121</v>
      </c>
      <c r="C26" s="33"/>
      <c r="D26" s="34"/>
      <c r="E26" s="35"/>
      <c r="F26" s="17">
        <f t="shared" si="0"/>
        <v>0</v>
      </c>
    </row>
    <row r="27" spans="1:6" ht="15" customHeight="1" x14ac:dyDescent="0.2">
      <c r="A27" s="31"/>
      <c r="B27" s="32" t="s">
        <v>121</v>
      </c>
      <c r="C27" s="33"/>
      <c r="D27" s="34"/>
      <c r="E27" s="35"/>
      <c r="F27" s="17">
        <f t="shared" si="0"/>
        <v>0</v>
      </c>
    </row>
    <row r="28" spans="1:6" ht="15" customHeight="1" x14ac:dyDescent="0.2">
      <c r="A28" s="31"/>
      <c r="B28" s="32" t="s">
        <v>121</v>
      </c>
      <c r="C28" s="33"/>
      <c r="D28" s="34"/>
      <c r="E28" s="35"/>
      <c r="F28" s="17">
        <f t="shared" si="0"/>
        <v>0</v>
      </c>
    </row>
    <row r="29" spans="1:6" ht="15" customHeight="1" x14ac:dyDescent="0.2">
      <c r="A29" s="31"/>
      <c r="B29" s="32" t="s">
        <v>121</v>
      </c>
      <c r="C29" s="33"/>
      <c r="D29" s="34"/>
      <c r="E29" s="35"/>
      <c r="F29" s="17">
        <f t="shared" si="0"/>
        <v>0</v>
      </c>
    </row>
    <row r="30" spans="1:6" ht="15" customHeight="1" x14ac:dyDescent="0.2">
      <c r="A30" s="31"/>
      <c r="B30" s="32" t="s">
        <v>121</v>
      </c>
      <c r="C30" s="33"/>
      <c r="D30" s="34"/>
      <c r="E30" s="35"/>
      <c r="F30" s="17">
        <f t="shared" si="0"/>
        <v>0</v>
      </c>
    </row>
    <row r="31" spans="1:6" ht="15" customHeight="1" x14ac:dyDescent="0.2">
      <c r="A31" s="31" t="s">
        <v>29</v>
      </c>
      <c r="B31" s="32" t="s">
        <v>121</v>
      </c>
      <c r="C31" s="33"/>
      <c r="D31" s="34"/>
      <c r="E31" s="35"/>
      <c r="F31" s="17">
        <f t="shared" si="0"/>
        <v>0</v>
      </c>
    </row>
    <row r="32" spans="1:6" ht="15" customHeight="1" x14ac:dyDescent="0.2">
      <c r="A32" s="31"/>
      <c r="B32" s="32" t="s">
        <v>121</v>
      </c>
      <c r="C32" s="33"/>
      <c r="D32" s="34"/>
      <c r="E32" s="35"/>
      <c r="F32" s="17">
        <f t="shared" si="0"/>
        <v>0</v>
      </c>
    </row>
    <row r="33" spans="1:6" ht="15" customHeight="1" x14ac:dyDescent="0.2">
      <c r="A33" s="31"/>
      <c r="B33" s="32" t="s">
        <v>121</v>
      </c>
      <c r="C33" s="33"/>
      <c r="D33" s="34"/>
      <c r="E33" s="35"/>
      <c r="F33" s="17">
        <f t="shared" si="0"/>
        <v>0</v>
      </c>
    </row>
    <row r="34" spans="1:6" ht="15" customHeight="1" x14ac:dyDescent="0.2">
      <c r="A34" s="31"/>
      <c r="B34" s="32" t="s">
        <v>121</v>
      </c>
      <c r="C34" s="33"/>
      <c r="D34" s="34"/>
      <c r="E34" s="35"/>
      <c r="F34" s="17">
        <f t="shared" si="0"/>
        <v>0</v>
      </c>
    </row>
    <row r="35" spans="1:6" ht="15" customHeight="1" x14ac:dyDescent="0.2">
      <c r="A35" s="31"/>
      <c r="B35" s="32" t="s">
        <v>121</v>
      </c>
      <c r="C35" s="33"/>
      <c r="D35" s="34"/>
      <c r="E35" s="35"/>
      <c r="F35" s="17">
        <f t="shared" si="0"/>
        <v>0</v>
      </c>
    </row>
    <row r="36" spans="1:6" ht="15" customHeight="1" x14ac:dyDescent="0.2">
      <c r="A36" s="31"/>
      <c r="B36" s="32" t="s">
        <v>121</v>
      </c>
      <c r="C36" s="33"/>
      <c r="D36" s="34"/>
      <c r="E36" s="35"/>
      <c r="F36" s="17">
        <f t="shared" si="0"/>
        <v>0</v>
      </c>
    </row>
    <row r="37" spans="1:6" ht="15" customHeight="1" x14ac:dyDescent="0.2">
      <c r="A37" s="31"/>
      <c r="B37" s="32" t="s">
        <v>121</v>
      </c>
      <c r="C37" s="33"/>
      <c r="D37" s="34"/>
      <c r="E37" s="35"/>
      <c r="F37" s="17">
        <f t="shared" si="0"/>
        <v>0</v>
      </c>
    </row>
    <row r="38" spans="1:6" ht="15" customHeight="1" x14ac:dyDescent="0.2">
      <c r="A38" s="31"/>
      <c r="B38" s="32" t="s">
        <v>121</v>
      </c>
      <c r="C38" s="33"/>
      <c r="D38" s="34"/>
      <c r="E38" s="35"/>
      <c r="F38" s="17">
        <f t="shared" si="0"/>
        <v>0</v>
      </c>
    </row>
    <row r="39" spans="1:6" ht="15" customHeight="1" x14ac:dyDescent="0.2">
      <c r="A39" s="31"/>
      <c r="B39" s="32" t="s">
        <v>121</v>
      </c>
      <c r="C39" s="33"/>
      <c r="D39" s="34"/>
      <c r="E39" s="35"/>
      <c r="F39" s="17">
        <f t="shared" si="0"/>
        <v>0</v>
      </c>
    </row>
    <row r="40" spans="1:6" ht="15" customHeight="1" x14ac:dyDescent="0.2">
      <c r="E40" s="8" t="s">
        <v>126</v>
      </c>
      <c r="F40" s="28">
        <f>SUM(F4:F39)</f>
        <v>0</v>
      </c>
    </row>
    <row r="41" spans="1:6" ht="15" customHeight="1" x14ac:dyDescent="0.2"/>
    <row r="42" spans="1:6" ht="15" customHeight="1" x14ac:dyDescent="0.2"/>
    <row r="43" spans="1:6" ht="15" customHeight="1" x14ac:dyDescent="0.2"/>
    <row r="44" spans="1:6" ht="15" customHeight="1" x14ac:dyDescent="0.2"/>
    <row r="45" spans="1:6" ht="15" customHeight="1" x14ac:dyDescent="0.2"/>
    <row r="46" spans="1:6" ht="15" customHeight="1" x14ac:dyDescent="0.2"/>
    <row r="47" spans="1:6" ht="15" customHeight="1" x14ac:dyDescent="0.2"/>
  </sheetData>
  <sheetProtection algorithmName="SHA-512" hashValue="6kPfcUAFA9wjt8Aji0KkUqUsmZsx9uonJ9jY0r/RqNqnrvn9pb9enmYrW8CKToooQeM9WgvlN5xr50BnoolmrQ==" saltValue="DudlHRR5iQ9PgJIhF11Fzw==" spinCount="100000" sheet="1" objects="1" scenarios="1" selectLockedCells="1"/>
  <mergeCells count="1">
    <mergeCell ref="A1:F1"/>
  </mergeCells>
  <dataValidations count="1">
    <dataValidation type="list" allowBlank="1" showInputMessage="1" showErrorMessage="1" sqref="B4:B39" xr:uid="{A78E7D4E-26D8-42C7-93F3-A21E5F77CA3D}">
      <formula1>Unites</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3CCF-CAC0-4376-B354-9E770255A7C2}">
  <dimension ref="A1:F64"/>
  <sheetViews>
    <sheetView workbookViewId="0">
      <selection activeCell="A4" sqref="A4"/>
    </sheetView>
  </sheetViews>
  <sheetFormatPr baseColWidth="10" defaultRowHeight="12.75" x14ac:dyDescent="0.2"/>
  <cols>
    <col min="1" max="1" width="48.140625" bestFit="1" customWidth="1"/>
    <col min="2" max="6" width="23.7109375" customWidth="1"/>
  </cols>
  <sheetData>
    <row r="1" spans="1:6" ht="15" customHeight="1" x14ac:dyDescent="0.25">
      <c r="A1" s="56" t="s">
        <v>9</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30</v>
      </c>
      <c r="B4" s="32" t="s">
        <v>121</v>
      </c>
      <c r="C4" s="33"/>
      <c r="D4" s="34"/>
      <c r="E4" s="35"/>
      <c r="F4" s="17">
        <f>C4*D4*E4</f>
        <v>0</v>
      </c>
    </row>
    <row r="5" spans="1:6" ht="15" customHeight="1" x14ac:dyDescent="0.2">
      <c r="A5" s="31"/>
      <c r="B5" s="32" t="s">
        <v>121</v>
      </c>
      <c r="C5" s="33"/>
      <c r="D5" s="38"/>
      <c r="E5" s="35"/>
      <c r="F5" s="17">
        <f t="shared" ref="F5:F57" si="0">C5*D5*E5</f>
        <v>0</v>
      </c>
    </row>
    <row r="6" spans="1:6" ht="15" customHeight="1" x14ac:dyDescent="0.2">
      <c r="A6" s="31"/>
      <c r="B6" s="32" t="s">
        <v>121</v>
      </c>
      <c r="C6" s="33"/>
      <c r="D6" s="38"/>
      <c r="E6" s="35"/>
      <c r="F6" s="17">
        <f t="shared" si="0"/>
        <v>0</v>
      </c>
    </row>
    <row r="7" spans="1:6" ht="15" customHeight="1" x14ac:dyDescent="0.2">
      <c r="A7" s="31"/>
      <c r="B7" s="32" t="s">
        <v>121</v>
      </c>
      <c r="C7" s="33"/>
      <c r="D7" s="38"/>
      <c r="E7" s="35"/>
      <c r="F7" s="17">
        <f t="shared" si="0"/>
        <v>0</v>
      </c>
    </row>
    <row r="8" spans="1:6" ht="15" customHeight="1" x14ac:dyDescent="0.2">
      <c r="A8" s="31"/>
      <c r="B8" s="32" t="s">
        <v>121</v>
      </c>
      <c r="C8" s="33"/>
      <c r="D8" s="38"/>
      <c r="E8" s="35"/>
      <c r="F8" s="17">
        <f t="shared" si="0"/>
        <v>0</v>
      </c>
    </row>
    <row r="9" spans="1:6" ht="15" customHeight="1" x14ac:dyDescent="0.2">
      <c r="A9" s="31"/>
      <c r="B9" s="32" t="s">
        <v>121</v>
      </c>
      <c r="C9" s="33"/>
      <c r="D9" s="38"/>
      <c r="E9" s="35"/>
      <c r="F9" s="17">
        <f t="shared" si="0"/>
        <v>0</v>
      </c>
    </row>
    <row r="10" spans="1:6" ht="15" customHeight="1" x14ac:dyDescent="0.2">
      <c r="A10" s="31"/>
      <c r="B10" s="32" t="s">
        <v>121</v>
      </c>
      <c r="C10" s="33"/>
      <c r="D10" s="38"/>
      <c r="E10" s="35"/>
      <c r="F10" s="17">
        <f t="shared" si="0"/>
        <v>0</v>
      </c>
    </row>
    <row r="11" spans="1:6" ht="15" customHeight="1" x14ac:dyDescent="0.2">
      <c r="A11" s="31"/>
      <c r="B11" s="32" t="s">
        <v>121</v>
      </c>
      <c r="C11" s="33"/>
      <c r="D11" s="38"/>
      <c r="E11" s="35"/>
      <c r="F11" s="17">
        <f t="shared" si="0"/>
        <v>0</v>
      </c>
    </row>
    <row r="12" spans="1:6" ht="15" customHeight="1" x14ac:dyDescent="0.2">
      <c r="A12" s="31"/>
      <c r="B12" s="32" t="s">
        <v>121</v>
      </c>
      <c r="C12" s="33"/>
      <c r="D12" s="34"/>
      <c r="E12" s="35"/>
      <c r="F12" s="17">
        <f t="shared" si="0"/>
        <v>0</v>
      </c>
    </row>
    <row r="13" spans="1:6" ht="15" customHeight="1" x14ac:dyDescent="0.2">
      <c r="A13" s="31" t="s">
        <v>31</v>
      </c>
      <c r="B13" s="32" t="s">
        <v>121</v>
      </c>
      <c r="C13" s="33"/>
      <c r="D13" s="34"/>
      <c r="E13" s="35"/>
      <c r="F13" s="17">
        <f t="shared" si="0"/>
        <v>0</v>
      </c>
    </row>
    <row r="14" spans="1:6" ht="15" customHeight="1" x14ac:dyDescent="0.2">
      <c r="A14" s="31"/>
      <c r="B14" s="32" t="s">
        <v>121</v>
      </c>
      <c r="C14" s="33"/>
      <c r="D14" s="38"/>
      <c r="E14" s="35"/>
      <c r="F14" s="17">
        <f t="shared" si="0"/>
        <v>0</v>
      </c>
    </row>
    <row r="15" spans="1:6" ht="15" customHeight="1" x14ac:dyDescent="0.2">
      <c r="A15" s="31"/>
      <c r="B15" s="32" t="s">
        <v>121</v>
      </c>
      <c r="C15" s="33"/>
      <c r="D15" s="38"/>
      <c r="E15" s="35"/>
      <c r="F15" s="17">
        <f t="shared" si="0"/>
        <v>0</v>
      </c>
    </row>
    <row r="16" spans="1:6" ht="15" customHeight="1" x14ac:dyDescent="0.2">
      <c r="A16" s="31"/>
      <c r="B16" s="32" t="s">
        <v>121</v>
      </c>
      <c r="C16" s="33"/>
      <c r="D16" s="38"/>
      <c r="E16" s="35"/>
      <c r="F16" s="17">
        <f t="shared" si="0"/>
        <v>0</v>
      </c>
    </row>
    <row r="17" spans="1:6" ht="15" customHeight="1" x14ac:dyDescent="0.2">
      <c r="A17" s="31"/>
      <c r="B17" s="32" t="s">
        <v>121</v>
      </c>
      <c r="C17" s="33"/>
      <c r="D17" s="38"/>
      <c r="E17" s="35"/>
      <c r="F17" s="17">
        <f t="shared" si="0"/>
        <v>0</v>
      </c>
    </row>
    <row r="18" spans="1:6" ht="15" customHeight="1" x14ac:dyDescent="0.2">
      <c r="A18" s="31"/>
      <c r="B18" s="32" t="s">
        <v>121</v>
      </c>
      <c r="C18" s="33"/>
      <c r="D18" s="38"/>
      <c r="E18" s="35"/>
      <c r="F18" s="17">
        <f t="shared" si="0"/>
        <v>0</v>
      </c>
    </row>
    <row r="19" spans="1:6" ht="15" customHeight="1" x14ac:dyDescent="0.2">
      <c r="A19" s="31"/>
      <c r="B19" s="32" t="s">
        <v>121</v>
      </c>
      <c r="C19" s="33"/>
      <c r="D19" s="38"/>
      <c r="E19" s="35"/>
      <c r="F19" s="17">
        <f t="shared" si="0"/>
        <v>0</v>
      </c>
    </row>
    <row r="20" spans="1:6" ht="15" customHeight="1" x14ac:dyDescent="0.2">
      <c r="A20" s="31"/>
      <c r="B20" s="32" t="s">
        <v>121</v>
      </c>
      <c r="C20" s="33"/>
      <c r="D20" s="38"/>
      <c r="E20" s="35"/>
      <c r="F20" s="17">
        <f t="shared" si="0"/>
        <v>0</v>
      </c>
    </row>
    <row r="21" spans="1:6" ht="15" customHeight="1" x14ac:dyDescent="0.2">
      <c r="A21" s="31"/>
      <c r="B21" s="32" t="s">
        <v>121</v>
      </c>
      <c r="C21" s="33"/>
      <c r="D21" s="34"/>
      <c r="E21" s="35"/>
      <c r="F21" s="17">
        <f t="shared" si="0"/>
        <v>0</v>
      </c>
    </row>
    <row r="22" spans="1:6" ht="15" customHeight="1" x14ac:dyDescent="0.2">
      <c r="A22" s="31" t="s">
        <v>32</v>
      </c>
      <c r="B22" s="32" t="s">
        <v>121</v>
      </c>
      <c r="C22" s="33"/>
      <c r="D22" s="34"/>
      <c r="E22" s="35"/>
      <c r="F22" s="17">
        <f t="shared" si="0"/>
        <v>0</v>
      </c>
    </row>
    <row r="23" spans="1:6" ht="15" customHeight="1" x14ac:dyDescent="0.2">
      <c r="A23" s="31"/>
      <c r="B23" s="32" t="s">
        <v>121</v>
      </c>
      <c r="C23" s="33"/>
      <c r="D23" s="38"/>
      <c r="E23" s="35"/>
      <c r="F23" s="17">
        <f t="shared" si="0"/>
        <v>0</v>
      </c>
    </row>
    <row r="24" spans="1:6" ht="15" customHeight="1" x14ac:dyDescent="0.2">
      <c r="A24" s="31"/>
      <c r="B24" s="32" t="s">
        <v>121</v>
      </c>
      <c r="C24" s="33"/>
      <c r="D24" s="38"/>
      <c r="E24" s="35"/>
      <c r="F24" s="17">
        <f t="shared" si="0"/>
        <v>0</v>
      </c>
    </row>
    <row r="25" spans="1:6" ht="15" customHeight="1" x14ac:dyDescent="0.2">
      <c r="A25" s="31"/>
      <c r="B25" s="32" t="s">
        <v>121</v>
      </c>
      <c r="C25" s="33"/>
      <c r="D25" s="38"/>
      <c r="E25" s="35"/>
      <c r="F25" s="17">
        <f t="shared" si="0"/>
        <v>0</v>
      </c>
    </row>
    <row r="26" spans="1:6" ht="15" customHeight="1" x14ac:dyDescent="0.2">
      <c r="A26" s="31"/>
      <c r="B26" s="32" t="s">
        <v>121</v>
      </c>
      <c r="C26" s="33"/>
      <c r="D26" s="38"/>
      <c r="E26" s="35"/>
      <c r="F26" s="17">
        <f t="shared" si="0"/>
        <v>0</v>
      </c>
    </row>
    <row r="27" spans="1:6" ht="15" customHeight="1" x14ac:dyDescent="0.2">
      <c r="A27" s="31"/>
      <c r="B27" s="32" t="s">
        <v>121</v>
      </c>
      <c r="C27" s="33"/>
      <c r="D27" s="38"/>
      <c r="E27" s="35"/>
      <c r="F27" s="17">
        <f t="shared" si="0"/>
        <v>0</v>
      </c>
    </row>
    <row r="28" spans="1:6" ht="15" customHeight="1" x14ac:dyDescent="0.2">
      <c r="A28" s="31"/>
      <c r="B28" s="32" t="s">
        <v>121</v>
      </c>
      <c r="C28" s="33"/>
      <c r="D28" s="38"/>
      <c r="E28" s="35"/>
      <c r="F28" s="17">
        <f t="shared" si="0"/>
        <v>0</v>
      </c>
    </row>
    <row r="29" spans="1:6" ht="15" customHeight="1" x14ac:dyDescent="0.2">
      <c r="A29" s="31"/>
      <c r="B29" s="32" t="s">
        <v>121</v>
      </c>
      <c r="C29" s="33"/>
      <c r="D29" s="38"/>
      <c r="E29" s="35"/>
      <c r="F29" s="17">
        <f t="shared" si="0"/>
        <v>0</v>
      </c>
    </row>
    <row r="30" spans="1:6" ht="15" customHeight="1" x14ac:dyDescent="0.2">
      <c r="A30" s="31"/>
      <c r="B30" s="32" t="s">
        <v>121</v>
      </c>
      <c r="C30" s="33"/>
      <c r="D30" s="34"/>
      <c r="E30" s="35"/>
      <c r="F30" s="17">
        <f t="shared" si="0"/>
        <v>0</v>
      </c>
    </row>
    <row r="31" spans="1:6" ht="15" customHeight="1" x14ac:dyDescent="0.2">
      <c r="A31" s="31" t="s">
        <v>33</v>
      </c>
      <c r="B31" s="32" t="s">
        <v>121</v>
      </c>
      <c r="C31" s="39"/>
      <c r="D31" s="40"/>
      <c r="E31" s="41"/>
      <c r="F31" s="17">
        <f t="shared" si="0"/>
        <v>0</v>
      </c>
    </row>
    <row r="32" spans="1:6" ht="15" customHeight="1" x14ac:dyDescent="0.2">
      <c r="A32" s="31"/>
      <c r="B32" s="32" t="s">
        <v>121</v>
      </c>
      <c r="C32" s="33"/>
      <c r="D32" s="38"/>
      <c r="E32" s="35"/>
      <c r="F32" s="17">
        <f t="shared" si="0"/>
        <v>0</v>
      </c>
    </row>
    <row r="33" spans="1:6" ht="15" customHeight="1" x14ac:dyDescent="0.2">
      <c r="A33" s="31"/>
      <c r="B33" s="32" t="s">
        <v>121</v>
      </c>
      <c r="C33" s="33"/>
      <c r="D33" s="38"/>
      <c r="E33" s="35"/>
      <c r="F33" s="17">
        <f t="shared" si="0"/>
        <v>0</v>
      </c>
    </row>
    <row r="34" spans="1:6" ht="15" customHeight="1" x14ac:dyDescent="0.2">
      <c r="A34" s="31"/>
      <c r="B34" s="32" t="s">
        <v>121</v>
      </c>
      <c r="C34" s="33"/>
      <c r="D34" s="38"/>
      <c r="E34" s="35"/>
      <c r="F34" s="17">
        <f t="shared" si="0"/>
        <v>0</v>
      </c>
    </row>
    <row r="35" spans="1:6" ht="15" customHeight="1" x14ac:dyDescent="0.2">
      <c r="A35" s="31"/>
      <c r="B35" s="32" t="s">
        <v>121</v>
      </c>
      <c r="C35" s="33"/>
      <c r="D35" s="38"/>
      <c r="E35" s="35"/>
      <c r="F35" s="17">
        <f t="shared" si="0"/>
        <v>0</v>
      </c>
    </row>
    <row r="36" spans="1:6" ht="15" customHeight="1" x14ac:dyDescent="0.2">
      <c r="A36" s="31"/>
      <c r="B36" s="32" t="s">
        <v>121</v>
      </c>
      <c r="C36" s="33"/>
      <c r="D36" s="38"/>
      <c r="E36" s="35"/>
      <c r="F36" s="17">
        <f t="shared" si="0"/>
        <v>0</v>
      </c>
    </row>
    <row r="37" spans="1:6" ht="15" customHeight="1" x14ac:dyDescent="0.2">
      <c r="A37" s="31"/>
      <c r="B37" s="32" t="s">
        <v>121</v>
      </c>
      <c r="C37" s="33"/>
      <c r="D37" s="38"/>
      <c r="E37" s="35"/>
      <c r="F37" s="17">
        <f t="shared" si="0"/>
        <v>0</v>
      </c>
    </row>
    <row r="38" spans="1:6" ht="15" customHeight="1" x14ac:dyDescent="0.2">
      <c r="A38" s="31"/>
      <c r="B38" s="32" t="s">
        <v>121</v>
      </c>
      <c r="C38" s="33"/>
      <c r="D38" s="38"/>
      <c r="E38" s="35"/>
      <c r="F38" s="17">
        <f t="shared" si="0"/>
        <v>0</v>
      </c>
    </row>
    <row r="39" spans="1:6" ht="15" customHeight="1" x14ac:dyDescent="0.2">
      <c r="A39" s="31"/>
      <c r="B39" s="32" t="s">
        <v>121</v>
      </c>
      <c r="C39" s="39"/>
      <c r="D39" s="40"/>
      <c r="E39" s="41"/>
      <c r="F39" s="17">
        <f t="shared" si="0"/>
        <v>0</v>
      </c>
    </row>
    <row r="40" spans="1:6" ht="15" customHeight="1" x14ac:dyDescent="0.2">
      <c r="A40" s="31" t="s">
        <v>34</v>
      </c>
      <c r="B40" s="32" t="s">
        <v>121</v>
      </c>
      <c r="C40" s="33"/>
      <c r="D40" s="34"/>
      <c r="E40" s="35"/>
      <c r="F40" s="17">
        <f t="shared" si="0"/>
        <v>0</v>
      </c>
    </row>
    <row r="41" spans="1:6" ht="15" customHeight="1" x14ac:dyDescent="0.2">
      <c r="A41" s="31"/>
      <c r="B41" s="32" t="s">
        <v>121</v>
      </c>
      <c r="C41" s="33"/>
      <c r="D41" s="38"/>
      <c r="E41" s="35"/>
      <c r="F41" s="17">
        <f t="shared" si="0"/>
        <v>0</v>
      </c>
    </row>
    <row r="42" spans="1:6" ht="15" customHeight="1" x14ac:dyDescent="0.2">
      <c r="A42" s="31"/>
      <c r="B42" s="32" t="s">
        <v>121</v>
      </c>
      <c r="C42" s="33"/>
      <c r="D42" s="38"/>
      <c r="E42" s="35"/>
      <c r="F42" s="17">
        <f t="shared" si="0"/>
        <v>0</v>
      </c>
    </row>
    <row r="43" spans="1:6" ht="15" customHeight="1" x14ac:dyDescent="0.2">
      <c r="A43" s="31"/>
      <c r="B43" s="32" t="s">
        <v>121</v>
      </c>
      <c r="C43" s="33"/>
      <c r="D43" s="38"/>
      <c r="E43" s="35"/>
      <c r="F43" s="17">
        <f t="shared" si="0"/>
        <v>0</v>
      </c>
    </row>
    <row r="44" spans="1:6" ht="15" customHeight="1" x14ac:dyDescent="0.2">
      <c r="A44" s="31"/>
      <c r="B44" s="32" t="s">
        <v>121</v>
      </c>
      <c r="C44" s="33"/>
      <c r="D44" s="38"/>
      <c r="E44" s="35"/>
      <c r="F44" s="17">
        <f t="shared" si="0"/>
        <v>0</v>
      </c>
    </row>
    <row r="45" spans="1:6" ht="15" customHeight="1" x14ac:dyDescent="0.2">
      <c r="A45" s="31"/>
      <c r="B45" s="32" t="s">
        <v>121</v>
      </c>
      <c r="C45" s="33"/>
      <c r="D45" s="38"/>
      <c r="E45" s="35"/>
      <c r="F45" s="17">
        <f t="shared" si="0"/>
        <v>0</v>
      </c>
    </row>
    <row r="46" spans="1:6" ht="15" customHeight="1" x14ac:dyDescent="0.2">
      <c r="A46" s="31"/>
      <c r="B46" s="32" t="s">
        <v>121</v>
      </c>
      <c r="C46" s="33"/>
      <c r="D46" s="38"/>
      <c r="E46" s="35"/>
      <c r="F46" s="17">
        <f t="shared" si="0"/>
        <v>0</v>
      </c>
    </row>
    <row r="47" spans="1:6" ht="15" customHeight="1" x14ac:dyDescent="0.2">
      <c r="A47" s="31"/>
      <c r="B47" s="32" t="s">
        <v>121</v>
      </c>
      <c r="C47" s="33"/>
      <c r="D47" s="38"/>
      <c r="E47" s="35"/>
      <c r="F47" s="17">
        <f t="shared" si="0"/>
        <v>0</v>
      </c>
    </row>
    <row r="48" spans="1:6" ht="15" customHeight="1" x14ac:dyDescent="0.2">
      <c r="A48" s="31"/>
      <c r="B48" s="32" t="s">
        <v>121</v>
      </c>
      <c r="C48" s="33"/>
      <c r="D48" s="34"/>
      <c r="E48" s="35"/>
      <c r="F48" s="17">
        <f t="shared" si="0"/>
        <v>0</v>
      </c>
    </row>
    <row r="49" spans="1:6" ht="15" customHeight="1" x14ac:dyDescent="0.2">
      <c r="A49" s="31" t="s">
        <v>35</v>
      </c>
      <c r="B49" s="32" t="s">
        <v>121</v>
      </c>
      <c r="C49" s="33"/>
      <c r="D49" s="38"/>
      <c r="E49" s="35"/>
      <c r="F49" s="17">
        <f t="shared" si="0"/>
        <v>0</v>
      </c>
    </row>
    <row r="50" spans="1:6" ht="15" customHeight="1" x14ac:dyDescent="0.2">
      <c r="A50" s="31"/>
      <c r="B50" s="32" t="s">
        <v>121</v>
      </c>
      <c r="C50" s="33"/>
      <c r="D50" s="38"/>
      <c r="E50" s="35"/>
      <c r="F50" s="17">
        <f t="shared" si="0"/>
        <v>0</v>
      </c>
    </row>
    <row r="51" spans="1:6" ht="15" customHeight="1" x14ac:dyDescent="0.2">
      <c r="A51" s="31"/>
      <c r="B51" s="32" t="s">
        <v>121</v>
      </c>
      <c r="C51" s="33"/>
      <c r="D51" s="38"/>
      <c r="E51" s="35"/>
      <c r="F51" s="17">
        <f t="shared" si="0"/>
        <v>0</v>
      </c>
    </row>
    <row r="52" spans="1:6" ht="15" customHeight="1" x14ac:dyDescent="0.2">
      <c r="A52" s="31"/>
      <c r="B52" s="32" t="s">
        <v>121</v>
      </c>
      <c r="C52" s="33"/>
      <c r="D52" s="38"/>
      <c r="E52" s="35"/>
      <c r="F52" s="17">
        <f t="shared" si="0"/>
        <v>0</v>
      </c>
    </row>
    <row r="53" spans="1:6" ht="15" customHeight="1" x14ac:dyDescent="0.2">
      <c r="A53" s="31"/>
      <c r="B53" s="32" t="s">
        <v>121</v>
      </c>
      <c r="C53" s="33"/>
      <c r="D53" s="38"/>
      <c r="E53" s="35"/>
      <c r="F53" s="17">
        <f t="shared" si="0"/>
        <v>0</v>
      </c>
    </row>
    <row r="54" spans="1:6" ht="15" customHeight="1" x14ac:dyDescent="0.2">
      <c r="A54" s="31"/>
      <c r="B54" s="32" t="s">
        <v>121</v>
      </c>
      <c r="C54" s="33"/>
      <c r="D54" s="38"/>
      <c r="E54" s="35"/>
      <c r="F54" s="17">
        <f t="shared" si="0"/>
        <v>0</v>
      </c>
    </row>
    <row r="55" spans="1:6" ht="15" customHeight="1" x14ac:dyDescent="0.2">
      <c r="A55" s="31"/>
      <c r="B55" s="32" t="s">
        <v>121</v>
      </c>
      <c r="C55" s="33"/>
      <c r="D55" s="38"/>
      <c r="E55" s="35"/>
      <c r="F55" s="17">
        <f t="shared" si="0"/>
        <v>0</v>
      </c>
    </row>
    <row r="56" spans="1:6" ht="15" customHeight="1" x14ac:dyDescent="0.2">
      <c r="A56" s="31"/>
      <c r="B56" s="32" t="s">
        <v>121</v>
      </c>
      <c r="C56" s="33"/>
      <c r="D56" s="38"/>
      <c r="E56" s="35"/>
      <c r="F56" s="17">
        <f t="shared" si="0"/>
        <v>0</v>
      </c>
    </row>
    <row r="57" spans="1:6" ht="15" customHeight="1" x14ac:dyDescent="0.2">
      <c r="A57" s="31"/>
      <c r="B57" s="32" t="s">
        <v>121</v>
      </c>
      <c r="C57" s="33"/>
      <c r="D57" s="38"/>
      <c r="E57" s="35"/>
      <c r="F57" s="17">
        <f t="shared" si="0"/>
        <v>0</v>
      </c>
    </row>
    <row r="58" spans="1:6" ht="15" customHeight="1" x14ac:dyDescent="0.2">
      <c r="E58" s="8" t="s">
        <v>126</v>
      </c>
      <c r="F58" s="28">
        <f>SUM(F4:F57)</f>
        <v>0</v>
      </c>
    </row>
    <row r="59" spans="1:6" ht="15" customHeight="1" x14ac:dyDescent="0.2"/>
    <row r="60" spans="1:6" ht="15" customHeight="1" x14ac:dyDescent="0.2"/>
    <row r="61" spans="1:6" ht="15" customHeight="1" x14ac:dyDescent="0.2"/>
    <row r="62" spans="1:6" ht="15" customHeight="1" x14ac:dyDescent="0.2"/>
    <row r="63" spans="1:6" ht="15" customHeight="1" x14ac:dyDescent="0.2"/>
    <row r="64" spans="1:6" ht="15" customHeight="1" x14ac:dyDescent="0.2"/>
  </sheetData>
  <sheetProtection algorithmName="SHA-512" hashValue="0gn+ZNuNPXE0kBJy57zKz6yLQqvGUBWoHJOQtLRaB8S/yQe0Y2zu7RCWbn0pzat60idCtt1Y1ZUGa+ZKGiUNrA==" saltValue="GWWH/SE4xu9LD8WQekWQ1w==" spinCount="100000" sheet="1" objects="1" scenarios="1" selectLockedCells="1"/>
  <mergeCells count="1">
    <mergeCell ref="A1:F1"/>
  </mergeCells>
  <dataValidations count="1">
    <dataValidation type="list" allowBlank="1" showInputMessage="1" showErrorMessage="1" sqref="B4:B57" xr:uid="{D3625D45-7603-4179-AD3C-ABCCEC3A84DD}">
      <formula1>Unites</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3768-408C-4144-9438-B9FA14A0EF20}">
  <dimension ref="A1:F49"/>
  <sheetViews>
    <sheetView workbookViewId="0">
      <selection activeCell="A4" sqref="A4"/>
    </sheetView>
  </sheetViews>
  <sheetFormatPr baseColWidth="10" defaultRowHeight="15" customHeight="1" x14ac:dyDescent="0.2"/>
  <cols>
    <col min="1" max="1" width="49.140625" bestFit="1" customWidth="1"/>
    <col min="2" max="6" width="23.7109375" customWidth="1"/>
  </cols>
  <sheetData>
    <row r="1" spans="1:6" ht="15" customHeight="1" x14ac:dyDescent="0.25">
      <c r="A1" s="56" t="s">
        <v>10</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36</v>
      </c>
      <c r="B4" s="32" t="s">
        <v>121</v>
      </c>
      <c r="C4" s="33"/>
      <c r="D4" s="38"/>
      <c r="E4" s="35"/>
      <c r="F4" s="17">
        <f>C4*D4*E4</f>
        <v>0</v>
      </c>
    </row>
    <row r="5" spans="1:6" ht="15" customHeight="1" x14ac:dyDescent="0.2">
      <c r="A5" s="42"/>
      <c r="B5" s="32" t="s">
        <v>121</v>
      </c>
      <c r="C5" s="43"/>
      <c r="D5" s="44"/>
      <c r="E5" s="45"/>
      <c r="F5" s="17">
        <f t="shared" ref="F5:F48" si="0">C5*D5*E5</f>
        <v>0</v>
      </c>
    </row>
    <row r="6" spans="1:6" ht="15" customHeight="1" x14ac:dyDescent="0.2">
      <c r="A6" s="42"/>
      <c r="B6" s="32" t="s">
        <v>121</v>
      </c>
      <c r="C6" s="43"/>
      <c r="D6" s="44"/>
      <c r="E6" s="45"/>
      <c r="F6" s="17">
        <f t="shared" si="0"/>
        <v>0</v>
      </c>
    </row>
    <row r="7" spans="1:6" ht="15" customHeight="1" x14ac:dyDescent="0.2">
      <c r="A7" s="42"/>
      <c r="B7" s="32" t="s">
        <v>121</v>
      </c>
      <c r="C7" s="43"/>
      <c r="D7" s="44"/>
      <c r="E7" s="45"/>
      <c r="F7" s="17">
        <f t="shared" si="0"/>
        <v>0</v>
      </c>
    </row>
    <row r="8" spans="1:6" ht="15" customHeight="1" x14ac:dyDescent="0.2">
      <c r="A8" s="42"/>
      <c r="B8" s="32" t="s">
        <v>121</v>
      </c>
      <c r="C8" s="43"/>
      <c r="D8" s="44"/>
      <c r="E8" s="45"/>
      <c r="F8" s="17">
        <f t="shared" si="0"/>
        <v>0</v>
      </c>
    </row>
    <row r="9" spans="1:6" ht="15" customHeight="1" x14ac:dyDescent="0.2">
      <c r="A9" s="42"/>
      <c r="B9" s="32" t="s">
        <v>121</v>
      </c>
      <c r="C9" s="43"/>
      <c r="D9" s="44"/>
      <c r="E9" s="45"/>
      <c r="F9" s="17">
        <f t="shared" si="0"/>
        <v>0</v>
      </c>
    </row>
    <row r="10" spans="1:6" ht="15" customHeight="1" x14ac:dyDescent="0.2">
      <c r="A10" s="42"/>
      <c r="B10" s="32" t="s">
        <v>121</v>
      </c>
      <c r="C10" s="43"/>
      <c r="D10" s="44"/>
      <c r="E10" s="45"/>
      <c r="F10" s="17">
        <f t="shared" si="0"/>
        <v>0</v>
      </c>
    </row>
    <row r="11" spans="1:6" ht="15" customHeight="1" x14ac:dyDescent="0.2">
      <c r="A11" s="42"/>
      <c r="B11" s="32" t="s">
        <v>121</v>
      </c>
      <c r="C11" s="43"/>
      <c r="D11" s="44"/>
      <c r="E11" s="45"/>
      <c r="F11" s="17">
        <f t="shared" si="0"/>
        <v>0</v>
      </c>
    </row>
    <row r="12" spans="1:6" ht="15" customHeight="1" x14ac:dyDescent="0.2">
      <c r="A12" s="31"/>
      <c r="B12" s="32" t="s">
        <v>121</v>
      </c>
      <c r="C12" s="33"/>
      <c r="D12" s="38"/>
      <c r="E12" s="35"/>
      <c r="F12" s="17">
        <f t="shared" si="0"/>
        <v>0</v>
      </c>
    </row>
    <row r="13" spans="1:6" ht="15" customHeight="1" x14ac:dyDescent="0.2">
      <c r="A13" s="31" t="s">
        <v>37</v>
      </c>
      <c r="B13" s="32" t="s">
        <v>121</v>
      </c>
      <c r="C13" s="33"/>
      <c r="D13" s="34"/>
      <c r="E13" s="35"/>
      <c r="F13" s="17">
        <f t="shared" si="0"/>
        <v>0</v>
      </c>
    </row>
    <row r="14" spans="1:6" ht="15" customHeight="1" x14ac:dyDescent="0.2">
      <c r="A14" s="42"/>
      <c r="B14" s="32" t="s">
        <v>121</v>
      </c>
      <c r="C14" s="43"/>
      <c r="D14" s="44"/>
      <c r="E14" s="45"/>
      <c r="F14" s="17">
        <f t="shared" si="0"/>
        <v>0</v>
      </c>
    </row>
    <row r="15" spans="1:6" ht="15" customHeight="1" x14ac:dyDescent="0.2">
      <c r="A15" s="42"/>
      <c r="B15" s="32" t="s">
        <v>121</v>
      </c>
      <c r="C15" s="43"/>
      <c r="D15" s="44"/>
      <c r="E15" s="45"/>
      <c r="F15" s="17">
        <f t="shared" si="0"/>
        <v>0</v>
      </c>
    </row>
    <row r="16" spans="1:6" ht="15" customHeight="1" x14ac:dyDescent="0.2">
      <c r="A16" s="42"/>
      <c r="B16" s="32" t="s">
        <v>121</v>
      </c>
      <c r="C16" s="43"/>
      <c r="D16" s="44"/>
      <c r="E16" s="45"/>
      <c r="F16" s="17">
        <f t="shared" si="0"/>
        <v>0</v>
      </c>
    </row>
    <row r="17" spans="1:6" ht="15" customHeight="1" x14ac:dyDescent="0.2">
      <c r="A17" s="42"/>
      <c r="B17" s="32" t="s">
        <v>121</v>
      </c>
      <c r="C17" s="43"/>
      <c r="D17" s="44"/>
      <c r="E17" s="45"/>
      <c r="F17" s="17">
        <f t="shared" si="0"/>
        <v>0</v>
      </c>
    </row>
    <row r="18" spans="1:6" ht="15" customHeight="1" x14ac:dyDescent="0.2">
      <c r="A18" s="42"/>
      <c r="B18" s="32" t="s">
        <v>121</v>
      </c>
      <c r="C18" s="43"/>
      <c r="D18" s="44"/>
      <c r="E18" s="45"/>
      <c r="F18" s="17">
        <f t="shared" si="0"/>
        <v>0</v>
      </c>
    </row>
    <row r="19" spans="1:6" ht="15" customHeight="1" x14ac:dyDescent="0.2">
      <c r="A19" s="42"/>
      <c r="B19" s="32" t="s">
        <v>121</v>
      </c>
      <c r="C19" s="43"/>
      <c r="D19" s="44"/>
      <c r="E19" s="45"/>
      <c r="F19" s="17">
        <f t="shared" si="0"/>
        <v>0</v>
      </c>
    </row>
    <row r="20" spans="1:6" ht="15" customHeight="1" x14ac:dyDescent="0.2">
      <c r="A20" s="42"/>
      <c r="B20" s="32" t="s">
        <v>121</v>
      </c>
      <c r="C20" s="43"/>
      <c r="D20" s="44"/>
      <c r="E20" s="45"/>
      <c r="F20" s="17">
        <f t="shared" si="0"/>
        <v>0</v>
      </c>
    </row>
    <row r="21" spans="1:6" ht="15" customHeight="1" x14ac:dyDescent="0.2">
      <c r="A21" s="31"/>
      <c r="B21" s="32" t="s">
        <v>121</v>
      </c>
      <c r="C21" s="33"/>
      <c r="D21" s="34"/>
      <c r="E21" s="35"/>
      <c r="F21" s="17">
        <f t="shared" si="0"/>
        <v>0</v>
      </c>
    </row>
    <row r="22" spans="1:6" ht="15" customHeight="1" x14ac:dyDescent="0.2">
      <c r="A22" s="31" t="s">
        <v>38</v>
      </c>
      <c r="B22" s="32" t="s">
        <v>121</v>
      </c>
      <c r="C22" s="33"/>
      <c r="D22" s="38"/>
      <c r="E22" s="35"/>
      <c r="F22" s="17">
        <f t="shared" si="0"/>
        <v>0</v>
      </c>
    </row>
    <row r="23" spans="1:6" ht="15" customHeight="1" x14ac:dyDescent="0.2">
      <c r="A23" s="42"/>
      <c r="B23" s="32" t="s">
        <v>121</v>
      </c>
      <c r="C23" s="43"/>
      <c r="D23" s="44"/>
      <c r="E23" s="45"/>
      <c r="F23" s="17">
        <f t="shared" si="0"/>
        <v>0</v>
      </c>
    </row>
    <row r="24" spans="1:6" ht="15" customHeight="1" x14ac:dyDescent="0.2">
      <c r="A24" s="42"/>
      <c r="B24" s="32" t="s">
        <v>121</v>
      </c>
      <c r="C24" s="43"/>
      <c r="D24" s="44"/>
      <c r="E24" s="45"/>
      <c r="F24" s="17">
        <f t="shared" si="0"/>
        <v>0</v>
      </c>
    </row>
    <row r="25" spans="1:6" ht="15" customHeight="1" x14ac:dyDescent="0.2">
      <c r="A25" s="42"/>
      <c r="B25" s="32" t="s">
        <v>121</v>
      </c>
      <c r="C25" s="43"/>
      <c r="D25" s="44"/>
      <c r="E25" s="45"/>
      <c r="F25" s="17">
        <f t="shared" si="0"/>
        <v>0</v>
      </c>
    </row>
    <row r="26" spans="1:6" ht="15" customHeight="1" x14ac:dyDescent="0.2">
      <c r="A26" s="42"/>
      <c r="B26" s="32" t="s">
        <v>121</v>
      </c>
      <c r="C26" s="43"/>
      <c r="D26" s="44"/>
      <c r="E26" s="45"/>
      <c r="F26" s="17">
        <f t="shared" si="0"/>
        <v>0</v>
      </c>
    </row>
    <row r="27" spans="1:6" ht="15" customHeight="1" x14ac:dyDescent="0.2">
      <c r="A27" s="42"/>
      <c r="B27" s="32" t="s">
        <v>121</v>
      </c>
      <c r="C27" s="43"/>
      <c r="D27" s="44"/>
      <c r="E27" s="45"/>
      <c r="F27" s="17">
        <f t="shared" si="0"/>
        <v>0</v>
      </c>
    </row>
    <row r="28" spans="1:6" ht="15" customHeight="1" x14ac:dyDescent="0.2">
      <c r="A28" s="42"/>
      <c r="B28" s="32" t="s">
        <v>121</v>
      </c>
      <c r="C28" s="43"/>
      <c r="D28" s="44"/>
      <c r="E28" s="45"/>
      <c r="F28" s="17">
        <f t="shared" si="0"/>
        <v>0</v>
      </c>
    </row>
    <row r="29" spans="1:6" ht="15" customHeight="1" x14ac:dyDescent="0.2">
      <c r="A29" s="42"/>
      <c r="B29" s="32" t="s">
        <v>121</v>
      </c>
      <c r="C29" s="43"/>
      <c r="D29" s="44"/>
      <c r="E29" s="45"/>
      <c r="F29" s="17">
        <f t="shared" si="0"/>
        <v>0</v>
      </c>
    </row>
    <row r="30" spans="1:6" ht="15" customHeight="1" x14ac:dyDescent="0.2">
      <c r="A30" s="31"/>
      <c r="B30" s="32" t="s">
        <v>121</v>
      </c>
      <c r="C30" s="33"/>
      <c r="D30" s="38"/>
      <c r="E30" s="35"/>
      <c r="F30" s="17">
        <f t="shared" si="0"/>
        <v>0</v>
      </c>
    </row>
    <row r="31" spans="1:6" ht="15" customHeight="1" x14ac:dyDescent="0.2">
      <c r="A31" s="31" t="s">
        <v>39</v>
      </c>
      <c r="B31" s="32" t="s">
        <v>121</v>
      </c>
      <c r="C31" s="33"/>
      <c r="D31" s="34"/>
      <c r="E31" s="35"/>
      <c r="F31" s="17">
        <f t="shared" si="0"/>
        <v>0</v>
      </c>
    </row>
    <row r="32" spans="1:6" ht="15" customHeight="1" x14ac:dyDescent="0.2">
      <c r="A32" s="42"/>
      <c r="B32" s="32" t="s">
        <v>121</v>
      </c>
      <c r="C32" s="43"/>
      <c r="D32" s="44"/>
      <c r="E32" s="45"/>
      <c r="F32" s="17">
        <f t="shared" si="0"/>
        <v>0</v>
      </c>
    </row>
    <row r="33" spans="1:6" ht="15" customHeight="1" x14ac:dyDescent="0.2">
      <c r="A33" s="42"/>
      <c r="B33" s="32" t="s">
        <v>121</v>
      </c>
      <c r="C33" s="43"/>
      <c r="D33" s="44"/>
      <c r="E33" s="45"/>
      <c r="F33" s="17">
        <f t="shared" si="0"/>
        <v>0</v>
      </c>
    </row>
    <row r="34" spans="1:6" ht="15" customHeight="1" x14ac:dyDescent="0.2">
      <c r="A34" s="42"/>
      <c r="B34" s="32" t="s">
        <v>121</v>
      </c>
      <c r="C34" s="43"/>
      <c r="D34" s="44"/>
      <c r="E34" s="45"/>
      <c r="F34" s="17">
        <f t="shared" si="0"/>
        <v>0</v>
      </c>
    </row>
    <row r="35" spans="1:6" ht="15" customHeight="1" x14ac:dyDescent="0.2">
      <c r="A35" s="42"/>
      <c r="B35" s="32" t="s">
        <v>121</v>
      </c>
      <c r="C35" s="43"/>
      <c r="D35" s="44"/>
      <c r="E35" s="45"/>
      <c r="F35" s="17">
        <f t="shared" si="0"/>
        <v>0</v>
      </c>
    </row>
    <row r="36" spans="1:6" ht="15" customHeight="1" x14ac:dyDescent="0.2">
      <c r="A36" s="42"/>
      <c r="B36" s="32" t="s">
        <v>121</v>
      </c>
      <c r="C36" s="43"/>
      <c r="D36" s="44"/>
      <c r="E36" s="45"/>
      <c r="F36" s="17">
        <f t="shared" si="0"/>
        <v>0</v>
      </c>
    </row>
    <row r="37" spans="1:6" ht="15" customHeight="1" x14ac:dyDescent="0.2">
      <c r="A37" s="42"/>
      <c r="B37" s="32" t="s">
        <v>121</v>
      </c>
      <c r="C37" s="43"/>
      <c r="D37" s="44"/>
      <c r="E37" s="45"/>
      <c r="F37" s="17">
        <f t="shared" si="0"/>
        <v>0</v>
      </c>
    </row>
    <row r="38" spans="1:6" ht="15" customHeight="1" x14ac:dyDescent="0.2">
      <c r="A38" s="42"/>
      <c r="B38" s="32" t="s">
        <v>121</v>
      </c>
      <c r="C38" s="43"/>
      <c r="D38" s="44"/>
      <c r="E38" s="45"/>
      <c r="F38" s="17">
        <f t="shared" si="0"/>
        <v>0</v>
      </c>
    </row>
    <row r="39" spans="1:6" ht="15" customHeight="1" x14ac:dyDescent="0.2">
      <c r="A39" s="31"/>
      <c r="B39" s="32" t="s">
        <v>121</v>
      </c>
      <c r="C39" s="33"/>
      <c r="D39" s="34"/>
      <c r="E39" s="35"/>
      <c r="F39" s="17">
        <f t="shared" si="0"/>
        <v>0</v>
      </c>
    </row>
    <row r="40" spans="1:6" ht="15" customHeight="1" x14ac:dyDescent="0.2">
      <c r="A40" s="42" t="s">
        <v>40</v>
      </c>
      <c r="B40" s="32" t="s">
        <v>121</v>
      </c>
      <c r="C40" s="43"/>
      <c r="D40" s="44"/>
      <c r="E40" s="45"/>
      <c r="F40" s="17">
        <f t="shared" si="0"/>
        <v>0</v>
      </c>
    </row>
    <row r="41" spans="1:6" ht="15" customHeight="1" x14ac:dyDescent="0.2">
      <c r="A41" s="42"/>
      <c r="B41" s="32" t="s">
        <v>121</v>
      </c>
      <c r="C41" s="43"/>
      <c r="D41" s="44"/>
      <c r="E41" s="45"/>
      <c r="F41" s="17">
        <f t="shared" si="0"/>
        <v>0</v>
      </c>
    </row>
    <row r="42" spans="1:6" ht="15" customHeight="1" x14ac:dyDescent="0.2">
      <c r="A42" s="42"/>
      <c r="B42" s="32" t="s">
        <v>121</v>
      </c>
      <c r="C42" s="43"/>
      <c r="D42" s="44"/>
      <c r="E42" s="45"/>
      <c r="F42" s="17">
        <f t="shared" si="0"/>
        <v>0</v>
      </c>
    </row>
    <row r="43" spans="1:6" ht="15" customHeight="1" x14ac:dyDescent="0.2">
      <c r="A43" s="42"/>
      <c r="B43" s="32" t="s">
        <v>121</v>
      </c>
      <c r="C43" s="43"/>
      <c r="D43" s="44"/>
      <c r="E43" s="45"/>
      <c r="F43" s="17">
        <f t="shared" si="0"/>
        <v>0</v>
      </c>
    </row>
    <row r="44" spans="1:6" ht="15" customHeight="1" x14ac:dyDescent="0.2">
      <c r="A44" s="42"/>
      <c r="B44" s="32" t="s">
        <v>121</v>
      </c>
      <c r="C44" s="43"/>
      <c r="D44" s="44"/>
      <c r="E44" s="45"/>
      <c r="F44" s="17">
        <f t="shared" si="0"/>
        <v>0</v>
      </c>
    </row>
    <row r="45" spans="1:6" ht="15" customHeight="1" x14ac:dyDescent="0.2">
      <c r="A45" s="42"/>
      <c r="B45" s="32" t="s">
        <v>121</v>
      </c>
      <c r="C45" s="43"/>
      <c r="D45" s="44"/>
      <c r="E45" s="45"/>
      <c r="F45" s="17">
        <f t="shared" si="0"/>
        <v>0</v>
      </c>
    </row>
    <row r="46" spans="1:6" ht="15" customHeight="1" x14ac:dyDescent="0.2">
      <c r="A46" s="42"/>
      <c r="B46" s="32" t="s">
        <v>121</v>
      </c>
      <c r="C46" s="43"/>
      <c r="D46" s="44"/>
      <c r="E46" s="45"/>
      <c r="F46" s="17">
        <f t="shared" si="0"/>
        <v>0</v>
      </c>
    </row>
    <row r="47" spans="1:6" ht="15" customHeight="1" x14ac:dyDescent="0.2">
      <c r="A47" s="42"/>
      <c r="B47" s="32" t="s">
        <v>121</v>
      </c>
      <c r="C47" s="43"/>
      <c r="D47" s="44"/>
      <c r="E47" s="45"/>
      <c r="F47" s="17">
        <f t="shared" si="0"/>
        <v>0</v>
      </c>
    </row>
    <row r="48" spans="1:6" ht="15" customHeight="1" x14ac:dyDescent="0.2">
      <c r="A48" s="42"/>
      <c r="B48" s="32" t="s">
        <v>121</v>
      </c>
      <c r="C48" s="43"/>
      <c r="D48" s="44"/>
      <c r="E48" s="45"/>
      <c r="F48" s="17">
        <f t="shared" si="0"/>
        <v>0</v>
      </c>
    </row>
    <row r="49" spans="5:6" ht="15" customHeight="1" x14ac:dyDescent="0.2">
      <c r="E49" s="8" t="s">
        <v>126</v>
      </c>
      <c r="F49" s="28">
        <f>SUM(F4:F48)</f>
        <v>0</v>
      </c>
    </row>
  </sheetData>
  <sheetProtection algorithmName="SHA-512" hashValue="zNYNfXEpdZ21fDxYrTPyzvTlzVMQCqKydT8+gtgRRVRup2Vp0dEUgcL0u0Zl/5bWpJPVNP4eYQMZOrUr7pRajg==" saltValue="3Kt4Z0S+F9cZmUt3qqniig==" spinCount="100000" sheet="1" objects="1" scenarios="1" selectLockedCells="1"/>
  <mergeCells count="1">
    <mergeCell ref="A1:F1"/>
  </mergeCells>
  <dataValidations count="1">
    <dataValidation type="list" allowBlank="1" showInputMessage="1" showErrorMessage="1" sqref="B4:B48" xr:uid="{9E24B6F6-6794-4E61-B04A-17B71BA5E8AB}">
      <formula1>Unites</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8F29-D4BE-4CBC-BDFA-E409DC8338CA}">
  <dimension ref="A1:F60"/>
  <sheetViews>
    <sheetView workbookViewId="0">
      <selection activeCell="A4" sqref="A4"/>
    </sheetView>
  </sheetViews>
  <sheetFormatPr baseColWidth="10" defaultRowHeight="12.75" x14ac:dyDescent="0.2"/>
  <cols>
    <col min="1" max="1" width="42.7109375" bestFit="1" customWidth="1"/>
    <col min="2" max="6" width="23.7109375" customWidth="1"/>
  </cols>
  <sheetData>
    <row r="1" spans="1:6" ht="15" customHeight="1" x14ac:dyDescent="0.25">
      <c r="A1" s="56" t="s">
        <v>11</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41</v>
      </c>
      <c r="B4" s="32" t="s">
        <v>121</v>
      </c>
      <c r="C4" s="33"/>
      <c r="D4" s="38"/>
      <c r="E4" s="35"/>
      <c r="F4" s="17">
        <f>C4*D4*E4</f>
        <v>0</v>
      </c>
    </row>
    <row r="5" spans="1:6" ht="15" customHeight="1" x14ac:dyDescent="0.2">
      <c r="A5" s="31"/>
      <c r="B5" s="32" t="s">
        <v>121</v>
      </c>
      <c r="C5" s="39"/>
      <c r="D5" s="40"/>
      <c r="E5" s="41"/>
      <c r="F5" s="17">
        <f t="shared" ref="F5:F48" si="0">C5*D5*E5</f>
        <v>0</v>
      </c>
    </row>
    <row r="6" spans="1:6" ht="15" customHeight="1" x14ac:dyDescent="0.2">
      <c r="A6" s="31"/>
      <c r="B6" s="32" t="s">
        <v>121</v>
      </c>
      <c r="C6" s="39"/>
      <c r="D6" s="40"/>
      <c r="E6" s="41"/>
      <c r="F6" s="17">
        <f t="shared" si="0"/>
        <v>0</v>
      </c>
    </row>
    <row r="7" spans="1:6" ht="15" customHeight="1" x14ac:dyDescent="0.2">
      <c r="A7" s="31"/>
      <c r="B7" s="32" t="s">
        <v>121</v>
      </c>
      <c r="C7" s="39"/>
      <c r="D7" s="40"/>
      <c r="E7" s="41"/>
      <c r="F7" s="17">
        <f t="shared" si="0"/>
        <v>0</v>
      </c>
    </row>
    <row r="8" spans="1:6" ht="15" customHeight="1" x14ac:dyDescent="0.2">
      <c r="A8" s="31"/>
      <c r="B8" s="32" t="s">
        <v>121</v>
      </c>
      <c r="C8" s="39"/>
      <c r="D8" s="40"/>
      <c r="E8" s="41"/>
      <c r="F8" s="17">
        <f t="shared" si="0"/>
        <v>0</v>
      </c>
    </row>
    <row r="9" spans="1:6" ht="15" customHeight="1" x14ac:dyDescent="0.2">
      <c r="A9" s="31"/>
      <c r="B9" s="32" t="s">
        <v>121</v>
      </c>
      <c r="C9" s="39"/>
      <c r="D9" s="40"/>
      <c r="E9" s="41"/>
      <c r="F9" s="17">
        <f t="shared" si="0"/>
        <v>0</v>
      </c>
    </row>
    <row r="10" spans="1:6" ht="15" customHeight="1" x14ac:dyDescent="0.2">
      <c r="A10" s="31"/>
      <c r="B10" s="32" t="s">
        <v>121</v>
      </c>
      <c r="C10" s="39"/>
      <c r="D10" s="40"/>
      <c r="E10" s="41"/>
      <c r="F10" s="17">
        <f t="shared" si="0"/>
        <v>0</v>
      </c>
    </row>
    <row r="11" spans="1:6" ht="15" customHeight="1" x14ac:dyDescent="0.2">
      <c r="A11" s="31"/>
      <c r="B11" s="32" t="s">
        <v>121</v>
      </c>
      <c r="C11" s="39"/>
      <c r="D11" s="40"/>
      <c r="E11" s="41"/>
      <c r="F11" s="17">
        <f t="shared" si="0"/>
        <v>0</v>
      </c>
    </row>
    <row r="12" spans="1:6" ht="15" customHeight="1" x14ac:dyDescent="0.2">
      <c r="A12" s="31"/>
      <c r="B12" s="32" t="s">
        <v>121</v>
      </c>
      <c r="C12" s="33"/>
      <c r="D12" s="38"/>
      <c r="E12" s="35"/>
      <c r="F12" s="17">
        <f t="shared" si="0"/>
        <v>0</v>
      </c>
    </row>
    <row r="13" spans="1:6" ht="15" customHeight="1" x14ac:dyDescent="0.2">
      <c r="A13" s="31" t="s">
        <v>42</v>
      </c>
      <c r="B13" s="32" t="s">
        <v>121</v>
      </c>
      <c r="C13" s="33"/>
      <c r="D13" s="38"/>
      <c r="E13" s="35"/>
      <c r="F13" s="17">
        <f t="shared" si="0"/>
        <v>0</v>
      </c>
    </row>
    <row r="14" spans="1:6" ht="15" customHeight="1" x14ac:dyDescent="0.2">
      <c r="A14" s="31"/>
      <c r="B14" s="32" t="s">
        <v>121</v>
      </c>
      <c r="C14" s="39"/>
      <c r="D14" s="40"/>
      <c r="E14" s="41"/>
      <c r="F14" s="17">
        <f t="shared" si="0"/>
        <v>0</v>
      </c>
    </row>
    <row r="15" spans="1:6" ht="15" customHeight="1" x14ac:dyDescent="0.2">
      <c r="A15" s="31"/>
      <c r="B15" s="32" t="s">
        <v>121</v>
      </c>
      <c r="C15" s="39"/>
      <c r="D15" s="40"/>
      <c r="E15" s="41"/>
      <c r="F15" s="17">
        <f t="shared" si="0"/>
        <v>0</v>
      </c>
    </row>
    <row r="16" spans="1:6" ht="15" customHeight="1" x14ac:dyDescent="0.2">
      <c r="A16" s="31"/>
      <c r="B16" s="32" t="s">
        <v>121</v>
      </c>
      <c r="C16" s="39"/>
      <c r="D16" s="40"/>
      <c r="E16" s="41"/>
      <c r="F16" s="17">
        <f t="shared" si="0"/>
        <v>0</v>
      </c>
    </row>
    <row r="17" spans="1:6" ht="15" customHeight="1" x14ac:dyDescent="0.2">
      <c r="A17" s="31"/>
      <c r="B17" s="32" t="s">
        <v>121</v>
      </c>
      <c r="C17" s="39"/>
      <c r="D17" s="40"/>
      <c r="E17" s="41"/>
      <c r="F17" s="17">
        <f t="shared" si="0"/>
        <v>0</v>
      </c>
    </row>
    <row r="18" spans="1:6" ht="15" customHeight="1" x14ac:dyDescent="0.2">
      <c r="A18" s="31"/>
      <c r="B18" s="32" t="s">
        <v>121</v>
      </c>
      <c r="C18" s="39"/>
      <c r="D18" s="40"/>
      <c r="E18" s="41"/>
      <c r="F18" s="17">
        <f t="shared" si="0"/>
        <v>0</v>
      </c>
    </row>
    <row r="19" spans="1:6" ht="15" customHeight="1" x14ac:dyDescent="0.2">
      <c r="A19" s="31"/>
      <c r="B19" s="32" t="s">
        <v>121</v>
      </c>
      <c r="C19" s="39"/>
      <c r="D19" s="40"/>
      <c r="E19" s="41"/>
      <c r="F19" s="17">
        <f t="shared" si="0"/>
        <v>0</v>
      </c>
    </row>
    <row r="20" spans="1:6" ht="15" customHeight="1" x14ac:dyDescent="0.2">
      <c r="A20" s="31"/>
      <c r="B20" s="32" t="s">
        <v>121</v>
      </c>
      <c r="C20" s="39"/>
      <c r="D20" s="40"/>
      <c r="E20" s="41"/>
      <c r="F20" s="17">
        <f t="shared" si="0"/>
        <v>0</v>
      </c>
    </row>
    <row r="21" spans="1:6" ht="15" customHeight="1" x14ac:dyDescent="0.2">
      <c r="A21" s="31"/>
      <c r="B21" s="32" t="s">
        <v>121</v>
      </c>
      <c r="C21" s="33"/>
      <c r="D21" s="38"/>
      <c r="E21" s="35"/>
      <c r="F21" s="17">
        <f t="shared" si="0"/>
        <v>0</v>
      </c>
    </row>
    <row r="22" spans="1:6" ht="15" customHeight="1" x14ac:dyDescent="0.2">
      <c r="A22" s="31" t="s">
        <v>43</v>
      </c>
      <c r="B22" s="32" t="s">
        <v>121</v>
      </c>
      <c r="C22" s="33"/>
      <c r="D22" s="38"/>
      <c r="E22" s="35"/>
      <c r="F22" s="17">
        <f t="shared" si="0"/>
        <v>0</v>
      </c>
    </row>
    <row r="23" spans="1:6" ht="15" customHeight="1" x14ac:dyDescent="0.2">
      <c r="A23" s="31"/>
      <c r="B23" s="32" t="s">
        <v>121</v>
      </c>
      <c r="C23" s="39"/>
      <c r="D23" s="40"/>
      <c r="E23" s="41"/>
      <c r="F23" s="17">
        <f t="shared" si="0"/>
        <v>0</v>
      </c>
    </row>
    <row r="24" spans="1:6" ht="15" customHeight="1" x14ac:dyDescent="0.2">
      <c r="A24" s="31"/>
      <c r="B24" s="32" t="s">
        <v>121</v>
      </c>
      <c r="C24" s="39"/>
      <c r="D24" s="40"/>
      <c r="E24" s="41"/>
      <c r="F24" s="17">
        <f t="shared" si="0"/>
        <v>0</v>
      </c>
    </row>
    <row r="25" spans="1:6" ht="15" customHeight="1" x14ac:dyDescent="0.2">
      <c r="A25" s="31"/>
      <c r="B25" s="32" t="s">
        <v>121</v>
      </c>
      <c r="C25" s="39"/>
      <c r="D25" s="40"/>
      <c r="E25" s="41"/>
      <c r="F25" s="17">
        <f t="shared" si="0"/>
        <v>0</v>
      </c>
    </row>
    <row r="26" spans="1:6" ht="15" customHeight="1" x14ac:dyDescent="0.2">
      <c r="A26" s="31"/>
      <c r="B26" s="32" t="s">
        <v>121</v>
      </c>
      <c r="C26" s="39"/>
      <c r="D26" s="40"/>
      <c r="E26" s="41"/>
      <c r="F26" s="17">
        <f t="shared" si="0"/>
        <v>0</v>
      </c>
    </row>
    <row r="27" spans="1:6" ht="15" customHeight="1" x14ac:dyDescent="0.2">
      <c r="A27" s="31"/>
      <c r="B27" s="32" t="s">
        <v>121</v>
      </c>
      <c r="C27" s="39"/>
      <c r="D27" s="40"/>
      <c r="E27" s="41"/>
      <c r="F27" s="17">
        <f t="shared" si="0"/>
        <v>0</v>
      </c>
    </row>
    <row r="28" spans="1:6" ht="15" customHeight="1" x14ac:dyDescent="0.2">
      <c r="A28" s="31"/>
      <c r="B28" s="32" t="s">
        <v>121</v>
      </c>
      <c r="C28" s="39"/>
      <c r="D28" s="40"/>
      <c r="E28" s="41"/>
      <c r="F28" s="17">
        <f t="shared" si="0"/>
        <v>0</v>
      </c>
    </row>
    <row r="29" spans="1:6" ht="15" customHeight="1" x14ac:dyDescent="0.2">
      <c r="A29" s="31"/>
      <c r="B29" s="32" t="s">
        <v>121</v>
      </c>
      <c r="C29" s="39"/>
      <c r="D29" s="40"/>
      <c r="E29" s="41"/>
      <c r="F29" s="17">
        <f t="shared" si="0"/>
        <v>0</v>
      </c>
    </row>
    <row r="30" spans="1:6" ht="15" customHeight="1" x14ac:dyDescent="0.2">
      <c r="A30" s="31"/>
      <c r="B30" s="32" t="s">
        <v>121</v>
      </c>
      <c r="C30" s="33"/>
      <c r="D30" s="38"/>
      <c r="E30" s="35"/>
      <c r="F30" s="17">
        <f t="shared" si="0"/>
        <v>0</v>
      </c>
    </row>
    <row r="31" spans="1:6" ht="15" customHeight="1" x14ac:dyDescent="0.2">
      <c r="A31" s="31" t="s">
        <v>44</v>
      </c>
      <c r="B31" s="32" t="s">
        <v>121</v>
      </c>
      <c r="C31" s="33"/>
      <c r="D31" s="38"/>
      <c r="E31" s="35"/>
      <c r="F31" s="17">
        <f t="shared" si="0"/>
        <v>0</v>
      </c>
    </row>
    <row r="32" spans="1:6" ht="15" customHeight="1" x14ac:dyDescent="0.2">
      <c r="A32" s="31"/>
      <c r="B32" s="32" t="s">
        <v>121</v>
      </c>
      <c r="C32" s="39"/>
      <c r="D32" s="40"/>
      <c r="E32" s="41"/>
      <c r="F32" s="17">
        <f t="shared" si="0"/>
        <v>0</v>
      </c>
    </row>
    <row r="33" spans="1:6" ht="15" customHeight="1" x14ac:dyDescent="0.2">
      <c r="A33" s="31"/>
      <c r="B33" s="32" t="s">
        <v>121</v>
      </c>
      <c r="C33" s="39"/>
      <c r="D33" s="40"/>
      <c r="E33" s="41"/>
      <c r="F33" s="17">
        <f t="shared" si="0"/>
        <v>0</v>
      </c>
    </row>
    <row r="34" spans="1:6" ht="15" customHeight="1" x14ac:dyDescent="0.2">
      <c r="A34" s="31"/>
      <c r="B34" s="32" t="s">
        <v>121</v>
      </c>
      <c r="C34" s="39"/>
      <c r="D34" s="40"/>
      <c r="E34" s="41"/>
      <c r="F34" s="17">
        <f t="shared" si="0"/>
        <v>0</v>
      </c>
    </row>
    <row r="35" spans="1:6" ht="15" customHeight="1" x14ac:dyDescent="0.2">
      <c r="A35" s="31"/>
      <c r="B35" s="32" t="s">
        <v>121</v>
      </c>
      <c r="C35" s="39"/>
      <c r="D35" s="40"/>
      <c r="E35" s="41"/>
      <c r="F35" s="17">
        <f t="shared" si="0"/>
        <v>0</v>
      </c>
    </row>
    <row r="36" spans="1:6" ht="15" customHeight="1" x14ac:dyDescent="0.2">
      <c r="A36" s="31"/>
      <c r="B36" s="32" t="s">
        <v>121</v>
      </c>
      <c r="C36" s="39"/>
      <c r="D36" s="40"/>
      <c r="E36" s="41"/>
      <c r="F36" s="17">
        <f t="shared" si="0"/>
        <v>0</v>
      </c>
    </row>
    <row r="37" spans="1:6" ht="15" customHeight="1" x14ac:dyDescent="0.2">
      <c r="A37" s="31"/>
      <c r="B37" s="32" t="s">
        <v>121</v>
      </c>
      <c r="C37" s="39"/>
      <c r="D37" s="40"/>
      <c r="E37" s="41"/>
      <c r="F37" s="17">
        <f t="shared" si="0"/>
        <v>0</v>
      </c>
    </row>
    <row r="38" spans="1:6" ht="15" customHeight="1" x14ac:dyDescent="0.2">
      <c r="A38" s="31"/>
      <c r="B38" s="32" t="s">
        <v>121</v>
      </c>
      <c r="C38" s="39"/>
      <c r="D38" s="40"/>
      <c r="E38" s="41"/>
      <c r="F38" s="17">
        <f t="shared" si="0"/>
        <v>0</v>
      </c>
    </row>
    <row r="39" spans="1:6" ht="15" customHeight="1" x14ac:dyDescent="0.2">
      <c r="A39" s="31"/>
      <c r="B39" s="32" t="s">
        <v>121</v>
      </c>
      <c r="C39" s="33"/>
      <c r="D39" s="38"/>
      <c r="E39" s="35"/>
      <c r="F39" s="17">
        <f t="shared" si="0"/>
        <v>0</v>
      </c>
    </row>
    <row r="40" spans="1:6" ht="15" customHeight="1" x14ac:dyDescent="0.2">
      <c r="A40" s="31" t="s">
        <v>45</v>
      </c>
      <c r="B40" s="32" t="s">
        <v>121</v>
      </c>
      <c r="C40" s="39"/>
      <c r="D40" s="40"/>
      <c r="E40" s="41"/>
      <c r="F40" s="17">
        <f t="shared" si="0"/>
        <v>0</v>
      </c>
    </row>
    <row r="41" spans="1:6" ht="15" customHeight="1" x14ac:dyDescent="0.2">
      <c r="A41" s="31"/>
      <c r="B41" s="32" t="s">
        <v>121</v>
      </c>
      <c r="C41" s="39"/>
      <c r="D41" s="40"/>
      <c r="E41" s="41"/>
      <c r="F41" s="17">
        <f t="shared" si="0"/>
        <v>0</v>
      </c>
    </row>
    <row r="42" spans="1:6" ht="15" customHeight="1" x14ac:dyDescent="0.2">
      <c r="A42" s="31"/>
      <c r="B42" s="32" t="s">
        <v>121</v>
      </c>
      <c r="C42" s="39"/>
      <c r="D42" s="40"/>
      <c r="E42" s="41"/>
      <c r="F42" s="17">
        <f t="shared" si="0"/>
        <v>0</v>
      </c>
    </row>
    <row r="43" spans="1:6" ht="15" customHeight="1" x14ac:dyDescent="0.2">
      <c r="A43" s="31"/>
      <c r="B43" s="32" t="s">
        <v>121</v>
      </c>
      <c r="C43" s="39"/>
      <c r="D43" s="40"/>
      <c r="E43" s="41"/>
      <c r="F43" s="17">
        <f t="shared" si="0"/>
        <v>0</v>
      </c>
    </row>
    <row r="44" spans="1:6" ht="15" customHeight="1" x14ac:dyDescent="0.2">
      <c r="A44" s="31"/>
      <c r="B44" s="32" t="s">
        <v>121</v>
      </c>
      <c r="C44" s="39"/>
      <c r="D44" s="40"/>
      <c r="E44" s="41"/>
      <c r="F44" s="17">
        <f t="shared" si="0"/>
        <v>0</v>
      </c>
    </row>
    <row r="45" spans="1:6" ht="15" customHeight="1" x14ac:dyDescent="0.2">
      <c r="A45" s="31"/>
      <c r="B45" s="32" t="s">
        <v>121</v>
      </c>
      <c r="C45" s="39"/>
      <c r="D45" s="40"/>
      <c r="E45" s="41"/>
      <c r="F45" s="17">
        <f t="shared" si="0"/>
        <v>0</v>
      </c>
    </row>
    <row r="46" spans="1:6" ht="15" customHeight="1" x14ac:dyDescent="0.2">
      <c r="A46" s="31"/>
      <c r="B46" s="32" t="s">
        <v>121</v>
      </c>
      <c r="C46" s="39"/>
      <c r="D46" s="40"/>
      <c r="E46" s="41"/>
      <c r="F46" s="17">
        <f t="shared" si="0"/>
        <v>0</v>
      </c>
    </row>
    <row r="47" spans="1:6" ht="15" customHeight="1" x14ac:dyDescent="0.2">
      <c r="A47" s="31"/>
      <c r="B47" s="32" t="s">
        <v>121</v>
      </c>
      <c r="C47" s="39"/>
      <c r="D47" s="40"/>
      <c r="E47" s="41"/>
      <c r="F47" s="17">
        <f t="shared" si="0"/>
        <v>0</v>
      </c>
    </row>
    <row r="48" spans="1:6" ht="15" customHeight="1" x14ac:dyDescent="0.2">
      <c r="A48" s="31"/>
      <c r="B48" s="32" t="s">
        <v>121</v>
      </c>
      <c r="C48" s="39"/>
      <c r="D48" s="40"/>
      <c r="E48" s="41"/>
      <c r="F48" s="17">
        <f t="shared" si="0"/>
        <v>0</v>
      </c>
    </row>
    <row r="49" spans="5:6" ht="15" customHeight="1" x14ac:dyDescent="0.2">
      <c r="E49" s="8" t="s">
        <v>126</v>
      </c>
      <c r="F49" s="28">
        <f>SUM(F4:F48)</f>
        <v>0</v>
      </c>
    </row>
    <row r="50" spans="5:6" ht="15" customHeight="1" x14ac:dyDescent="0.2"/>
    <row r="51" spans="5:6" ht="15" customHeight="1" x14ac:dyDescent="0.2"/>
    <row r="52" spans="5:6" ht="15" customHeight="1" x14ac:dyDescent="0.2"/>
    <row r="53" spans="5:6" ht="15" customHeight="1" x14ac:dyDescent="0.2"/>
    <row r="54" spans="5:6" ht="15" customHeight="1" x14ac:dyDescent="0.2"/>
    <row r="55" spans="5:6" ht="15" customHeight="1" x14ac:dyDescent="0.2"/>
    <row r="56" spans="5:6" ht="15" customHeight="1" x14ac:dyDescent="0.2"/>
    <row r="57" spans="5:6" ht="15" customHeight="1" x14ac:dyDescent="0.2"/>
    <row r="58" spans="5:6" ht="15" customHeight="1" x14ac:dyDescent="0.2"/>
    <row r="59" spans="5:6" ht="15" customHeight="1" x14ac:dyDescent="0.2"/>
    <row r="60" spans="5:6" ht="15" customHeight="1" x14ac:dyDescent="0.2"/>
  </sheetData>
  <sheetProtection algorithmName="SHA-512" hashValue="hT2agxUTgWkAbXxT64XeBni3K2d7pWpeResD869/fZUZpnVQxQwa8WZsVs6D2jzypfTNf5CNB2BqcJfrUP49KA==" saltValue="FR7HivWyIq9igF+IbMQMpA==" spinCount="100000" sheet="1" objects="1" scenarios="1" selectLockedCells="1"/>
  <mergeCells count="1">
    <mergeCell ref="A1:F1"/>
  </mergeCells>
  <dataValidations count="1">
    <dataValidation type="list" allowBlank="1" showInputMessage="1" showErrorMessage="1" sqref="B4:B48" xr:uid="{F3D9E89D-6226-4112-BA9E-EC7B28D5725C}">
      <formula1>Unites</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6430-1E08-4788-8C9E-A8097AC73C32}">
  <dimension ref="A1:F29"/>
  <sheetViews>
    <sheetView workbookViewId="0">
      <selection activeCell="A4" sqref="A4"/>
    </sheetView>
  </sheetViews>
  <sheetFormatPr baseColWidth="10" defaultRowHeight="12.75" x14ac:dyDescent="0.2"/>
  <cols>
    <col min="1" max="1" width="75.5703125" bestFit="1" customWidth="1"/>
    <col min="2" max="6" width="23.7109375" customWidth="1"/>
  </cols>
  <sheetData>
    <row r="1" spans="1:6" ht="15" customHeight="1" x14ac:dyDescent="0.25">
      <c r="A1" s="56" t="s">
        <v>12</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46</v>
      </c>
      <c r="B4" s="32" t="s">
        <v>121</v>
      </c>
      <c r="C4" s="33"/>
      <c r="D4" s="38"/>
      <c r="E4" s="35"/>
      <c r="F4" s="17">
        <f>C4*D4*E4</f>
        <v>0</v>
      </c>
    </row>
    <row r="5" spans="1:6" ht="15" customHeight="1" x14ac:dyDescent="0.2">
      <c r="A5" s="31"/>
      <c r="B5" s="32" t="s">
        <v>121</v>
      </c>
      <c r="C5" s="33"/>
      <c r="D5" s="38"/>
      <c r="E5" s="35"/>
      <c r="F5" s="17">
        <f t="shared" ref="F5:F21" si="0">C5*D5*E5</f>
        <v>0</v>
      </c>
    </row>
    <row r="6" spans="1:6" ht="15" customHeight="1" x14ac:dyDescent="0.2">
      <c r="A6" s="31"/>
      <c r="B6" s="32" t="s">
        <v>121</v>
      </c>
      <c r="C6" s="33"/>
      <c r="D6" s="38"/>
      <c r="E6" s="35"/>
      <c r="F6" s="17">
        <f t="shared" si="0"/>
        <v>0</v>
      </c>
    </row>
    <row r="7" spans="1:6" ht="15" customHeight="1" x14ac:dyDescent="0.2">
      <c r="A7" s="31"/>
      <c r="B7" s="32" t="s">
        <v>121</v>
      </c>
      <c r="C7" s="33"/>
      <c r="D7" s="38"/>
      <c r="E7" s="35"/>
      <c r="F7" s="17">
        <f t="shared" si="0"/>
        <v>0</v>
      </c>
    </row>
    <row r="8" spans="1:6" ht="15" customHeight="1" x14ac:dyDescent="0.2">
      <c r="A8" s="31"/>
      <c r="B8" s="32" t="s">
        <v>121</v>
      </c>
      <c r="C8" s="33"/>
      <c r="D8" s="38"/>
      <c r="E8" s="35"/>
      <c r="F8" s="17">
        <f t="shared" si="0"/>
        <v>0</v>
      </c>
    </row>
    <row r="9" spans="1:6" ht="15" customHeight="1" x14ac:dyDescent="0.2">
      <c r="A9" s="31"/>
      <c r="B9" s="32" t="s">
        <v>121</v>
      </c>
      <c r="C9" s="33"/>
      <c r="D9" s="38"/>
      <c r="E9" s="35"/>
      <c r="F9" s="17">
        <f t="shared" si="0"/>
        <v>0</v>
      </c>
    </row>
    <row r="10" spans="1:6" ht="15" customHeight="1" x14ac:dyDescent="0.2">
      <c r="A10" s="31"/>
      <c r="B10" s="32" t="s">
        <v>121</v>
      </c>
      <c r="C10" s="33"/>
      <c r="D10" s="38"/>
      <c r="E10" s="35"/>
      <c r="F10" s="17">
        <f t="shared" si="0"/>
        <v>0</v>
      </c>
    </row>
    <row r="11" spans="1:6" ht="15" customHeight="1" x14ac:dyDescent="0.2">
      <c r="A11" s="31"/>
      <c r="B11" s="32" t="s">
        <v>121</v>
      </c>
      <c r="C11" s="33"/>
      <c r="D11" s="38"/>
      <c r="E11" s="35"/>
      <c r="F11" s="17">
        <f t="shared" si="0"/>
        <v>0</v>
      </c>
    </row>
    <row r="12" spans="1:6" ht="15" customHeight="1" x14ac:dyDescent="0.2">
      <c r="A12" s="31"/>
      <c r="B12" s="32" t="s">
        <v>121</v>
      </c>
      <c r="C12" s="33"/>
      <c r="D12" s="38"/>
      <c r="E12" s="35"/>
      <c r="F12" s="17">
        <f t="shared" si="0"/>
        <v>0</v>
      </c>
    </row>
    <row r="13" spans="1:6" ht="15" customHeight="1" x14ac:dyDescent="0.2">
      <c r="A13" s="31" t="s">
        <v>47</v>
      </c>
      <c r="B13" s="32" t="s">
        <v>121</v>
      </c>
      <c r="C13" s="33"/>
      <c r="D13" s="38"/>
      <c r="E13" s="35"/>
      <c r="F13" s="17">
        <f t="shared" si="0"/>
        <v>0</v>
      </c>
    </row>
    <row r="14" spans="1:6" ht="15" customHeight="1" x14ac:dyDescent="0.2">
      <c r="A14" s="31"/>
      <c r="B14" s="32" t="s">
        <v>121</v>
      </c>
      <c r="C14" s="33"/>
      <c r="D14" s="38"/>
      <c r="E14" s="35"/>
      <c r="F14" s="17">
        <f t="shared" si="0"/>
        <v>0</v>
      </c>
    </row>
    <row r="15" spans="1:6" ht="15" customHeight="1" x14ac:dyDescent="0.2">
      <c r="A15" s="31"/>
      <c r="B15" s="32" t="s">
        <v>121</v>
      </c>
      <c r="C15" s="33"/>
      <c r="D15" s="38"/>
      <c r="E15" s="35"/>
      <c r="F15" s="17">
        <f t="shared" si="0"/>
        <v>0</v>
      </c>
    </row>
    <row r="16" spans="1:6" ht="15" customHeight="1" x14ac:dyDescent="0.2">
      <c r="A16" s="31"/>
      <c r="B16" s="32" t="s">
        <v>121</v>
      </c>
      <c r="C16" s="33"/>
      <c r="D16" s="38"/>
      <c r="E16" s="35"/>
      <c r="F16" s="17">
        <f t="shared" si="0"/>
        <v>0</v>
      </c>
    </row>
    <row r="17" spans="1:6" ht="15" customHeight="1" x14ac:dyDescent="0.2">
      <c r="A17" s="31"/>
      <c r="B17" s="32" t="s">
        <v>121</v>
      </c>
      <c r="C17" s="33"/>
      <c r="D17" s="38"/>
      <c r="E17" s="35"/>
      <c r="F17" s="17">
        <f t="shared" si="0"/>
        <v>0</v>
      </c>
    </row>
    <row r="18" spans="1:6" ht="15" customHeight="1" x14ac:dyDescent="0.2">
      <c r="A18" s="31"/>
      <c r="B18" s="32" t="s">
        <v>121</v>
      </c>
      <c r="C18" s="33"/>
      <c r="D18" s="38"/>
      <c r="E18" s="35"/>
      <c r="F18" s="17">
        <f t="shared" si="0"/>
        <v>0</v>
      </c>
    </row>
    <row r="19" spans="1:6" ht="15" customHeight="1" x14ac:dyDescent="0.2">
      <c r="A19" s="31"/>
      <c r="B19" s="32" t="s">
        <v>121</v>
      </c>
      <c r="C19" s="33"/>
      <c r="D19" s="38"/>
      <c r="E19" s="35"/>
      <c r="F19" s="17">
        <f t="shared" si="0"/>
        <v>0</v>
      </c>
    </row>
    <row r="20" spans="1:6" ht="15" customHeight="1" x14ac:dyDescent="0.2">
      <c r="A20" s="31"/>
      <c r="B20" s="32" t="s">
        <v>121</v>
      </c>
      <c r="C20" s="33"/>
      <c r="D20" s="38"/>
      <c r="E20" s="35"/>
      <c r="F20" s="17">
        <f t="shared" si="0"/>
        <v>0</v>
      </c>
    </row>
    <row r="21" spans="1:6" ht="15" customHeight="1" x14ac:dyDescent="0.2">
      <c r="A21" s="31"/>
      <c r="B21" s="32" t="s">
        <v>121</v>
      </c>
      <c r="C21" s="33"/>
      <c r="D21" s="38"/>
      <c r="E21" s="35"/>
      <c r="F21" s="17">
        <f t="shared" si="0"/>
        <v>0</v>
      </c>
    </row>
    <row r="22" spans="1:6" ht="15" customHeight="1" x14ac:dyDescent="0.2">
      <c r="A22" s="3"/>
      <c r="B22" s="12"/>
      <c r="C22" s="2"/>
      <c r="D22" s="13"/>
      <c r="E22" s="8" t="s">
        <v>126</v>
      </c>
      <c r="F22" s="28">
        <f>SUM(F4:F21)</f>
        <v>0</v>
      </c>
    </row>
    <row r="23" spans="1:6" ht="15" customHeight="1" x14ac:dyDescent="0.2"/>
    <row r="24" spans="1:6" ht="15" customHeight="1" x14ac:dyDescent="0.2"/>
    <row r="25" spans="1:6" ht="15" customHeight="1" x14ac:dyDescent="0.2"/>
    <row r="26" spans="1:6" ht="15" customHeight="1" x14ac:dyDescent="0.2"/>
    <row r="27" spans="1:6" ht="15" customHeight="1" x14ac:dyDescent="0.2"/>
    <row r="28" spans="1:6" ht="15" customHeight="1" x14ac:dyDescent="0.2"/>
    <row r="29" spans="1:6" ht="15" customHeight="1" x14ac:dyDescent="0.2"/>
  </sheetData>
  <sheetProtection algorithmName="SHA-512" hashValue="f6I7fOJPuX0DQtL7FtYQCeQgNe20hqpINU42lfU6t97vm78P5t/mb3HQ38BfNfoj/K1ElaSlmrKdHje0LA0AUw==" saltValue="Ai5wjyFHOyrAtoIb7TMKmg==" spinCount="100000" sheet="1" objects="1" scenarios="1" selectLockedCells="1"/>
  <mergeCells count="1">
    <mergeCell ref="A1:F1"/>
  </mergeCells>
  <dataValidations count="1">
    <dataValidation type="list" allowBlank="1" showInputMessage="1" showErrorMessage="1" sqref="B4:B21" xr:uid="{50CA5466-1013-43D6-ACD6-DDE0BC579F8C}">
      <formula1>Unites</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EFA8E-0FFB-4963-B4BB-5F786FDAEE01}">
  <dimension ref="A1:F64"/>
  <sheetViews>
    <sheetView workbookViewId="0">
      <selection activeCell="A4" sqref="A4"/>
    </sheetView>
  </sheetViews>
  <sheetFormatPr baseColWidth="10" defaultRowHeight="12.75" x14ac:dyDescent="0.2"/>
  <cols>
    <col min="1" max="1" width="37.5703125" bestFit="1" customWidth="1"/>
    <col min="2" max="6" width="23.7109375" customWidth="1"/>
  </cols>
  <sheetData>
    <row r="1" spans="1:6" ht="15" customHeight="1" x14ac:dyDescent="0.25">
      <c r="A1" s="56" t="s">
        <v>13</v>
      </c>
      <c r="B1" s="56"/>
      <c r="C1" s="56"/>
      <c r="D1" s="56"/>
      <c r="E1" s="56"/>
      <c r="F1" s="56"/>
    </row>
    <row r="2" spans="1:6" ht="15" customHeight="1" x14ac:dyDescent="0.2">
      <c r="A2" s="3"/>
      <c r="B2" s="3"/>
      <c r="C2" s="18"/>
      <c r="D2" s="19"/>
      <c r="E2" s="20"/>
      <c r="F2" s="18"/>
    </row>
    <row r="3" spans="1:6" ht="15" customHeight="1" x14ac:dyDescent="0.2">
      <c r="A3" s="8" t="s">
        <v>0</v>
      </c>
      <c r="B3" s="8" t="s">
        <v>1</v>
      </c>
      <c r="C3" s="9" t="s">
        <v>2</v>
      </c>
      <c r="D3" s="10" t="s">
        <v>3</v>
      </c>
      <c r="E3" s="11" t="s">
        <v>4</v>
      </c>
      <c r="F3" s="9" t="s">
        <v>5</v>
      </c>
    </row>
    <row r="4" spans="1:6" ht="15" customHeight="1" x14ac:dyDescent="0.2">
      <c r="A4" s="31" t="s">
        <v>48</v>
      </c>
      <c r="B4" s="32" t="s">
        <v>121</v>
      </c>
      <c r="C4" s="33"/>
      <c r="D4" s="38"/>
      <c r="E4" s="35"/>
      <c r="F4" s="17">
        <f>C4*D4*E4</f>
        <v>0</v>
      </c>
    </row>
    <row r="5" spans="1:6" ht="15" customHeight="1" x14ac:dyDescent="0.2">
      <c r="A5" s="31"/>
      <c r="B5" s="32" t="s">
        <v>121</v>
      </c>
      <c r="C5" s="33"/>
      <c r="D5" s="38"/>
      <c r="E5" s="35"/>
      <c r="F5" s="17">
        <f t="shared" ref="F5:F61" si="0">C5*D5*E5</f>
        <v>0</v>
      </c>
    </row>
    <row r="6" spans="1:6" ht="15" customHeight="1" x14ac:dyDescent="0.2">
      <c r="A6" s="31"/>
      <c r="B6" s="32" t="s">
        <v>121</v>
      </c>
      <c r="C6" s="33"/>
      <c r="D6" s="38"/>
      <c r="E6" s="35"/>
      <c r="F6" s="17">
        <f t="shared" si="0"/>
        <v>0</v>
      </c>
    </row>
    <row r="7" spans="1:6" ht="15" customHeight="1" x14ac:dyDescent="0.2">
      <c r="A7" s="31"/>
      <c r="B7" s="32" t="s">
        <v>121</v>
      </c>
      <c r="C7" s="33"/>
      <c r="D7" s="38"/>
      <c r="E7" s="35"/>
      <c r="F7" s="17">
        <f t="shared" si="0"/>
        <v>0</v>
      </c>
    </row>
    <row r="8" spans="1:6" ht="15" customHeight="1" x14ac:dyDescent="0.2">
      <c r="A8" s="31"/>
      <c r="B8" s="32" t="s">
        <v>121</v>
      </c>
      <c r="C8" s="33"/>
      <c r="D8" s="38"/>
      <c r="E8" s="35"/>
      <c r="F8" s="17">
        <f t="shared" si="0"/>
        <v>0</v>
      </c>
    </row>
    <row r="9" spans="1:6" ht="15" customHeight="1" x14ac:dyDescent="0.2">
      <c r="A9" s="31"/>
      <c r="B9" s="32" t="s">
        <v>121</v>
      </c>
      <c r="C9" s="33"/>
      <c r="D9" s="38"/>
      <c r="E9" s="35"/>
      <c r="F9" s="17">
        <f t="shared" si="0"/>
        <v>0</v>
      </c>
    </row>
    <row r="10" spans="1:6" ht="15" customHeight="1" x14ac:dyDescent="0.2">
      <c r="A10" s="31"/>
      <c r="B10" s="32" t="s">
        <v>121</v>
      </c>
      <c r="C10" s="33"/>
      <c r="D10" s="38"/>
      <c r="E10" s="35"/>
      <c r="F10" s="17">
        <f t="shared" si="0"/>
        <v>0</v>
      </c>
    </row>
    <row r="11" spans="1:6" ht="15" customHeight="1" x14ac:dyDescent="0.2">
      <c r="A11" s="31"/>
      <c r="B11" s="32" t="s">
        <v>121</v>
      </c>
      <c r="C11" s="33"/>
      <c r="D11" s="38"/>
      <c r="E11" s="35"/>
      <c r="F11" s="17">
        <f t="shared" si="0"/>
        <v>0</v>
      </c>
    </row>
    <row r="12" spans="1:6" ht="15" customHeight="1" x14ac:dyDescent="0.2">
      <c r="A12" s="31"/>
      <c r="B12" s="32" t="s">
        <v>121</v>
      </c>
      <c r="C12" s="33"/>
      <c r="D12" s="38"/>
      <c r="E12" s="35"/>
      <c r="F12" s="17">
        <f t="shared" si="0"/>
        <v>0</v>
      </c>
    </row>
    <row r="13" spans="1:6" ht="15" customHeight="1" x14ac:dyDescent="0.2">
      <c r="A13" s="31"/>
      <c r="B13" s="32" t="s">
        <v>121</v>
      </c>
      <c r="C13" s="33"/>
      <c r="D13" s="38"/>
      <c r="E13" s="35"/>
      <c r="F13" s="17">
        <f t="shared" si="0"/>
        <v>0</v>
      </c>
    </row>
    <row r="14" spans="1:6" ht="15" customHeight="1" x14ac:dyDescent="0.2">
      <c r="A14" s="31"/>
      <c r="B14" s="32" t="s">
        <v>121</v>
      </c>
      <c r="C14" s="33"/>
      <c r="D14" s="38"/>
      <c r="E14" s="35"/>
      <c r="F14" s="17">
        <f t="shared" si="0"/>
        <v>0</v>
      </c>
    </row>
    <row r="15" spans="1:6" ht="15" customHeight="1" x14ac:dyDescent="0.2">
      <c r="A15" s="31"/>
      <c r="B15" s="32" t="s">
        <v>121</v>
      </c>
      <c r="C15" s="33"/>
      <c r="D15" s="38"/>
      <c r="E15" s="35"/>
      <c r="F15" s="17">
        <f t="shared" si="0"/>
        <v>0</v>
      </c>
    </row>
    <row r="16" spans="1:6" ht="15" customHeight="1" x14ac:dyDescent="0.2">
      <c r="A16" s="31"/>
      <c r="B16" s="32" t="s">
        <v>121</v>
      </c>
      <c r="C16" s="33"/>
      <c r="D16" s="38"/>
      <c r="E16" s="35"/>
      <c r="F16" s="17">
        <f t="shared" si="0"/>
        <v>0</v>
      </c>
    </row>
    <row r="17" spans="1:6" ht="15" customHeight="1" x14ac:dyDescent="0.2">
      <c r="A17" s="31" t="s">
        <v>49</v>
      </c>
      <c r="B17" s="32" t="s">
        <v>121</v>
      </c>
      <c r="C17" s="33"/>
      <c r="D17" s="38"/>
      <c r="E17" s="35"/>
      <c r="F17" s="17">
        <f t="shared" si="0"/>
        <v>0</v>
      </c>
    </row>
    <row r="18" spans="1:6" ht="15" customHeight="1" x14ac:dyDescent="0.2">
      <c r="A18" s="31"/>
      <c r="B18" s="32" t="s">
        <v>121</v>
      </c>
      <c r="C18" s="33"/>
      <c r="D18" s="38"/>
      <c r="E18" s="35"/>
      <c r="F18" s="17">
        <f t="shared" si="0"/>
        <v>0</v>
      </c>
    </row>
    <row r="19" spans="1:6" ht="15" customHeight="1" x14ac:dyDescent="0.2">
      <c r="A19" s="31"/>
      <c r="B19" s="32" t="s">
        <v>121</v>
      </c>
      <c r="C19" s="33"/>
      <c r="D19" s="38"/>
      <c r="E19" s="35"/>
      <c r="F19" s="17">
        <f t="shared" si="0"/>
        <v>0</v>
      </c>
    </row>
    <row r="20" spans="1:6" ht="15" customHeight="1" x14ac:dyDescent="0.2">
      <c r="A20" s="31"/>
      <c r="B20" s="32" t="s">
        <v>121</v>
      </c>
      <c r="C20" s="33"/>
      <c r="D20" s="38"/>
      <c r="E20" s="35"/>
      <c r="F20" s="17">
        <f t="shared" si="0"/>
        <v>0</v>
      </c>
    </row>
    <row r="21" spans="1:6" ht="15" customHeight="1" x14ac:dyDescent="0.2">
      <c r="A21" s="31"/>
      <c r="B21" s="32" t="s">
        <v>121</v>
      </c>
      <c r="C21" s="33"/>
      <c r="D21" s="38"/>
      <c r="E21" s="35"/>
      <c r="F21" s="17">
        <f t="shared" si="0"/>
        <v>0</v>
      </c>
    </row>
    <row r="22" spans="1:6" ht="15" customHeight="1" x14ac:dyDescent="0.2">
      <c r="A22" s="31"/>
      <c r="B22" s="32" t="s">
        <v>121</v>
      </c>
      <c r="C22" s="33"/>
      <c r="D22" s="38"/>
      <c r="E22" s="35"/>
      <c r="F22" s="17">
        <f t="shared" si="0"/>
        <v>0</v>
      </c>
    </row>
    <row r="23" spans="1:6" ht="15" customHeight="1" x14ac:dyDescent="0.2">
      <c r="A23" s="31"/>
      <c r="B23" s="32" t="s">
        <v>121</v>
      </c>
      <c r="C23" s="33"/>
      <c r="D23" s="38"/>
      <c r="E23" s="35"/>
      <c r="F23" s="17">
        <f t="shared" si="0"/>
        <v>0</v>
      </c>
    </row>
    <row r="24" spans="1:6" ht="15" customHeight="1" x14ac:dyDescent="0.2">
      <c r="A24" s="31"/>
      <c r="B24" s="32" t="s">
        <v>121</v>
      </c>
      <c r="C24" s="33"/>
      <c r="D24" s="38"/>
      <c r="E24" s="35"/>
      <c r="F24" s="17">
        <f t="shared" si="0"/>
        <v>0</v>
      </c>
    </row>
    <row r="25" spans="1:6" ht="15" customHeight="1" x14ac:dyDescent="0.2">
      <c r="A25" s="31"/>
      <c r="B25" s="32" t="s">
        <v>121</v>
      </c>
      <c r="C25" s="33"/>
      <c r="D25" s="38"/>
      <c r="E25" s="35"/>
      <c r="F25" s="17">
        <f t="shared" si="0"/>
        <v>0</v>
      </c>
    </row>
    <row r="26" spans="1:6" ht="15" customHeight="1" x14ac:dyDescent="0.2">
      <c r="A26" s="31" t="s">
        <v>50</v>
      </c>
      <c r="B26" s="32" t="s">
        <v>121</v>
      </c>
      <c r="C26" s="33"/>
      <c r="D26" s="38"/>
      <c r="E26" s="35"/>
      <c r="F26" s="17">
        <f t="shared" si="0"/>
        <v>0</v>
      </c>
    </row>
    <row r="27" spans="1:6" ht="15" customHeight="1" x14ac:dyDescent="0.2">
      <c r="A27" s="31"/>
      <c r="B27" s="32" t="s">
        <v>121</v>
      </c>
      <c r="C27" s="33"/>
      <c r="D27" s="38"/>
      <c r="E27" s="35"/>
      <c r="F27" s="17">
        <f t="shared" si="0"/>
        <v>0</v>
      </c>
    </row>
    <row r="28" spans="1:6" ht="15" customHeight="1" x14ac:dyDescent="0.2">
      <c r="A28" s="31"/>
      <c r="B28" s="32" t="s">
        <v>121</v>
      </c>
      <c r="C28" s="33"/>
      <c r="D28" s="38"/>
      <c r="E28" s="35"/>
      <c r="F28" s="17">
        <f t="shared" si="0"/>
        <v>0</v>
      </c>
    </row>
    <row r="29" spans="1:6" ht="15" customHeight="1" x14ac:dyDescent="0.2">
      <c r="A29" s="31"/>
      <c r="B29" s="32" t="s">
        <v>121</v>
      </c>
      <c r="C29" s="33"/>
      <c r="D29" s="38"/>
      <c r="E29" s="35"/>
      <c r="F29" s="17">
        <f t="shared" si="0"/>
        <v>0</v>
      </c>
    </row>
    <row r="30" spans="1:6" ht="15" customHeight="1" x14ac:dyDescent="0.2">
      <c r="A30" s="31"/>
      <c r="B30" s="32" t="s">
        <v>121</v>
      </c>
      <c r="C30" s="33"/>
      <c r="D30" s="38"/>
      <c r="E30" s="35"/>
      <c r="F30" s="17">
        <f t="shared" si="0"/>
        <v>0</v>
      </c>
    </row>
    <row r="31" spans="1:6" ht="15" customHeight="1" x14ac:dyDescent="0.2">
      <c r="A31" s="31"/>
      <c r="B31" s="32" t="s">
        <v>121</v>
      </c>
      <c r="C31" s="33"/>
      <c r="D31" s="38"/>
      <c r="E31" s="35"/>
      <c r="F31" s="17">
        <f t="shared" si="0"/>
        <v>0</v>
      </c>
    </row>
    <row r="32" spans="1:6" ht="15" customHeight="1" x14ac:dyDescent="0.2">
      <c r="A32" s="31"/>
      <c r="B32" s="32" t="s">
        <v>121</v>
      </c>
      <c r="C32" s="33"/>
      <c r="D32" s="38"/>
      <c r="E32" s="35"/>
      <c r="F32" s="17">
        <f t="shared" si="0"/>
        <v>0</v>
      </c>
    </row>
    <row r="33" spans="1:6" ht="15" customHeight="1" x14ac:dyDescent="0.2">
      <c r="A33" s="31"/>
      <c r="B33" s="32" t="s">
        <v>121</v>
      </c>
      <c r="C33" s="33"/>
      <c r="D33" s="38"/>
      <c r="E33" s="35"/>
      <c r="F33" s="17">
        <f t="shared" si="0"/>
        <v>0</v>
      </c>
    </row>
    <row r="34" spans="1:6" ht="15" customHeight="1" x14ac:dyDescent="0.2">
      <c r="A34" s="31"/>
      <c r="B34" s="32" t="s">
        <v>121</v>
      </c>
      <c r="C34" s="33"/>
      <c r="D34" s="38"/>
      <c r="E34" s="35"/>
      <c r="F34" s="17">
        <f t="shared" si="0"/>
        <v>0</v>
      </c>
    </row>
    <row r="35" spans="1:6" ht="15" customHeight="1" x14ac:dyDescent="0.2">
      <c r="A35" s="31" t="s">
        <v>51</v>
      </c>
      <c r="B35" s="32" t="s">
        <v>121</v>
      </c>
      <c r="C35" s="33"/>
      <c r="D35" s="38"/>
      <c r="E35" s="35"/>
      <c r="F35" s="17">
        <f t="shared" si="0"/>
        <v>0</v>
      </c>
    </row>
    <row r="36" spans="1:6" ht="15" customHeight="1" x14ac:dyDescent="0.2">
      <c r="A36" s="31"/>
      <c r="B36" s="32" t="s">
        <v>121</v>
      </c>
      <c r="C36" s="33"/>
      <c r="D36" s="38"/>
      <c r="E36" s="35"/>
      <c r="F36" s="17">
        <f t="shared" si="0"/>
        <v>0</v>
      </c>
    </row>
    <row r="37" spans="1:6" ht="15" customHeight="1" x14ac:dyDescent="0.2">
      <c r="A37" s="31"/>
      <c r="B37" s="32" t="s">
        <v>121</v>
      </c>
      <c r="C37" s="33"/>
      <c r="D37" s="38"/>
      <c r="E37" s="35"/>
      <c r="F37" s="17">
        <f t="shared" si="0"/>
        <v>0</v>
      </c>
    </row>
    <row r="38" spans="1:6" ht="15" customHeight="1" x14ac:dyDescent="0.2">
      <c r="A38" s="31"/>
      <c r="B38" s="32" t="s">
        <v>121</v>
      </c>
      <c r="C38" s="33"/>
      <c r="D38" s="38"/>
      <c r="E38" s="35"/>
      <c r="F38" s="17">
        <f t="shared" si="0"/>
        <v>0</v>
      </c>
    </row>
    <row r="39" spans="1:6" ht="15" customHeight="1" x14ac:dyDescent="0.2">
      <c r="A39" s="31"/>
      <c r="B39" s="32" t="s">
        <v>121</v>
      </c>
      <c r="C39" s="33"/>
      <c r="D39" s="38"/>
      <c r="E39" s="35"/>
      <c r="F39" s="17">
        <f t="shared" si="0"/>
        <v>0</v>
      </c>
    </row>
    <row r="40" spans="1:6" ht="15" customHeight="1" x14ac:dyDescent="0.2">
      <c r="A40" s="31"/>
      <c r="B40" s="32" t="s">
        <v>121</v>
      </c>
      <c r="C40" s="33"/>
      <c r="D40" s="38"/>
      <c r="E40" s="35"/>
      <c r="F40" s="17">
        <f t="shared" si="0"/>
        <v>0</v>
      </c>
    </row>
    <row r="41" spans="1:6" ht="15" customHeight="1" x14ac:dyDescent="0.2">
      <c r="A41" s="31"/>
      <c r="B41" s="32" t="s">
        <v>121</v>
      </c>
      <c r="C41" s="33"/>
      <c r="D41" s="38"/>
      <c r="E41" s="35"/>
      <c r="F41" s="17">
        <f t="shared" si="0"/>
        <v>0</v>
      </c>
    </row>
    <row r="42" spans="1:6" ht="15" customHeight="1" x14ac:dyDescent="0.2">
      <c r="A42" s="31"/>
      <c r="B42" s="32" t="s">
        <v>121</v>
      </c>
      <c r="C42" s="33"/>
      <c r="D42" s="38"/>
      <c r="E42" s="35"/>
      <c r="F42" s="17">
        <f t="shared" si="0"/>
        <v>0</v>
      </c>
    </row>
    <row r="43" spans="1:6" ht="15" customHeight="1" x14ac:dyDescent="0.2">
      <c r="A43" s="31"/>
      <c r="B43" s="32" t="s">
        <v>121</v>
      </c>
      <c r="C43" s="33"/>
      <c r="D43" s="38"/>
      <c r="E43" s="35"/>
      <c r="F43" s="17">
        <f t="shared" si="0"/>
        <v>0</v>
      </c>
    </row>
    <row r="44" spans="1:6" ht="15" customHeight="1" x14ac:dyDescent="0.2">
      <c r="A44" s="31" t="s">
        <v>52</v>
      </c>
      <c r="B44" s="32" t="s">
        <v>121</v>
      </c>
      <c r="C44" s="33"/>
      <c r="D44" s="38"/>
      <c r="E44" s="35"/>
      <c r="F44" s="17">
        <f t="shared" si="0"/>
        <v>0</v>
      </c>
    </row>
    <row r="45" spans="1:6" ht="15" customHeight="1" x14ac:dyDescent="0.2">
      <c r="A45" s="31" t="s">
        <v>53</v>
      </c>
      <c r="B45" s="32" t="s">
        <v>121</v>
      </c>
      <c r="C45" s="33"/>
      <c r="D45" s="38"/>
      <c r="E45" s="35"/>
      <c r="F45" s="17">
        <f t="shared" si="0"/>
        <v>0</v>
      </c>
    </row>
    <row r="46" spans="1:6" ht="15" customHeight="1" x14ac:dyDescent="0.2">
      <c r="A46" s="31" t="s">
        <v>54</v>
      </c>
      <c r="B46" s="32" t="s">
        <v>121</v>
      </c>
      <c r="C46" s="33"/>
      <c r="D46" s="38"/>
      <c r="E46" s="35"/>
      <c r="F46" s="17">
        <f t="shared" si="0"/>
        <v>0</v>
      </c>
    </row>
    <row r="47" spans="1:6" ht="15" customHeight="1" x14ac:dyDescent="0.2">
      <c r="A47" s="31" t="s">
        <v>55</v>
      </c>
      <c r="B47" s="32" t="s">
        <v>121</v>
      </c>
      <c r="C47" s="33"/>
      <c r="D47" s="38"/>
      <c r="E47" s="35"/>
      <c r="F47" s="17">
        <f t="shared" si="0"/>
        <v>0</v>
      </c>
    </row>
    <row r="48" spans="1:6" ht="15" customHeight="1" x14ac:dyDescent="0.2">
      <c r="A48" s="31" t="s">
        <v>56</v>
      </c>
      <c r="B48" s="32" t="s">
        <v>121</v>
      </c>
      <c r="C48" s="33"/>
      <c r="D48" s="38"/>
      <c r="E48" s="35"/>
      <c r="F48" s="17">
        <f t="shared" si="0"/>
        <v>0</v>
      </c>
    </row>
    <row r="49" spans="1:6" ht="15" customHeight="1" x14ac:dyDescent="0.2">
      <c r="A49" s="31" t="s">
        <v>57</v>
      </c>
      <c r="B49" s="32" t="s">
        <v>121</v>
      </c>
      <c r="C49" s="33"/>
      <c r="D49" s="38"/>
      <c r="E49" s="35"/>
      <c r="F49" s="17">
        <f t="shared" si="0"/>
        <v>0</v>
      </c>
    </row>
    <row r="50" spans="1:6" ht="15" customHeight="1" x14ac:dyDescent="0.2">
      <c r="A50" s="31" t="s">
        <v>58</v>
      </c>
      <c r="B50" s="32" t="s">
        <v>121</v>
      </c>
      <c r="C50" s="33"/>
      <c r="D50" s="38"/>
      <c r="E50" s="35"/>
      <c r="F50" s="17">
        <f t="shared" si="0"/>
        <v>0</v>
      </c>
    </row>
    <row r="51" spans="1:6" ht="15" customHeight="1" x14ac:dyDescent="0.2">
      <c r="A51" s="31" t="s">
        <v>59</v>
      </c>
      <c r="B51" s="32" t="s">
        <v>121</v>
      </c>
      <c r="C51" s="33"/>
      <c r="D51" s="38"/>
      <c r="E51" s="35"/>
      <c r="F51" s="17">
        <f t="shared" si="0"/>
        <v>0</v>
      </c>
    </row>
    <row r="52" spans="1:6" ht="15" customHeight="1" x14ac:dyDescent="0.2">
      <c r="A52" s="31" t="s">
        <v>60</v>
      </c>
      <c r="B52" s="32" t="s">
        <v>121</v>
      </c>
      <c r="C52" s="33"/>
      <c r="D52" s="38"/>
      <c r="E52" s="35"/>
      <c r="F52" s="17">
        <f t="shared" si="0"/>
        <v>0</v>
      </c>
    </row>
    <row r="53" spans="1:6" ht="15" customHeight="1" x14ac:dyDescent="0.2">
      <c r="A53" s="31" t="s">
        <v>61</v>
      </c>
      <c r="B53" s="32" t="s">
        <v>121</v>
      </c>
      <c r="C53" s="33"/>
      <c r="D53" s="38"/>
      <c r="E53" s="35"/>
      <c r="F53" s="17">
        <f t="shared" si="0"/>
        <v>0</v>
      </c>
    </row>
    <row r="54" spans="1:6" ht="15" customHeight="1" x14ac:dyDescent="0.2">
      <c r="A54" s="31"/>
      <c r="B54" s="32" t="s">
        <v>121</v>
      </c>
      <c r="C54" s="33"/>
      <c r="D54" s="38"/>
      <c r="E54" s="35"/>
      <c r="F54" s="17">
        <f t="shared" si="0"/>
        <v>0</v>
      </c>
    </row>
    <row r="55" spans="1:6" ht="15" customHeight="1" x14ac:dyDescent="0.2">
      <c r="A55" s="31"/>
      <c r="B55" s="32" t="s">
        <v>121</v>
      </c>
      <c r="C55" s="33"/>
      <c r="D55" s="38"/>
      <c r="E55" s="35"/>
      <c r="F55" s="17">
        <f t="shared" si="0"/>
        <v>0</v>
      </c>
    </row>
    <row r="56" spans="1:6" ht="15" customHeight="1" x14ac:dyDescent="0.2">
      <c r="A56" s="31"/>
      <c r="B56" s="32" t="s">
        <v>121</v>
      </c>
      <c r="C56" s="33"/>
      <c r="D56" s="38"/>
      <c r="E56" s="35"/>
      <c r="F56" s="17">
        <f t="shared" si="0"/>
        <v>0</v>
      </c>
    </row>
    <row r="57" spans="1:6" ht="15" customHeight="1" x14ac:dyDescent="0.2">
      <c r="A57" s="31"/>
      <c r="B57" s="32" t="s">
        <v>121</v>
      </c>
      <c r="C57" s="33"/>
      <c r="D57" s="38"/>
      <c r="E57" s="35"/>
      <c r="F57" s="17">
        <f t="shared" si="0"/>
        <v>0</v>
      </c>
    </row>
    <row r="58" spans="1:6" ht="15" customHeight="1" x14ac:dyDescent="0.2">
      <c r="A58" s="31"/>
      <c r="B58" s="32" t="s">
        <v>121</v>
      </c>
      <c r="C58" s="33"/>
      <c r="D58" s="38"/>
      <c r="E58" s="35"/>
      <c r="F58" s="17">
        <f t="shared" si="0"/>
        <v>0</v>
      </c>
    </row>
    <row r="59" spans="1:6" ht="15" customHeight="1" x14ac:dyDescent="0.2">
      <c r="A59" s="31"/>
      <c r="B59" s="32" t="s">
        <v>121</v>
      </c>
      <c r="C59" s="33"/>
      <c r="D59" s="38"/>
      <c r="E59" s="35"/>
      <c r="F59" s="17">
        <f t="shared" si="0"/>
        <v>0</v>
      </c>
    </row>
    <row r="60" spans="1:6" ht="15" customHeight="1" x14ac:dyDescent="0.2">
      <c r="A60" s="31"/>
      <c r="B60" s="32" t="s">
        <v>121</v>
      </c>
      <c r="C60" s="33"/>
      <c r="D60" s="38"/>
      <c r="E60" s="35"/>
      <c r="F60" s="17">
        <f t="shared" si="0"/>
        <v>0</v>
      </c>
    </row>
    <row r="61" spans="1:6" ht="15" customHeight="1" x14ac:dyDescent="0.2">
      <c r="A61" s="31"/>
      <c r="B61" s="32" t="s">
        <v>121</v>
      </c>
      <c r="C61" s="33"/>
      <c r="D61" s="38"/>
      <c r="E61" s="35"/>
      <c r="F61" s="17">
        <f t="shared" si="0"/>
        <v>0</v>
      </c>
    </row>
    <row r="62" spans="1:6" ht="15" customHeight="1" x14ac:dyDescent="0.2">
      <c r="E62" s="8" t="s">
        <v>126</v>
      </c>
      <c r="F62" s="28">
        <f>SUM(F4:F61)</f>
        <v>0</v>
      </c>
    </row>
    <row r="63" spans="1:6" ht="15" customHeight="1" x14ac:dyDescent="0.2"/>
    <row r="64" spans="1:6" ht="15" customHeight="1" x14ac:dyDescent="0.2"/>
  </sheetData>
  <sheetProtection algorithmName="SHA-512" hashValue="xHjx1rx87rUuhVZKYEw41RaGwh0loauArK0fzJfDzXzIPwwqZH9H89MsC3ofaRIihr4J9u3q46aG5yI/NzjE1w==" saltValue="VyPyES8rCwIosPiiESd8TQ==" spinCount="100000" sheet="1" objects="1" scenarios="1" selectLockedCells="1"/>
  <mergeCells count="1">
    <mergeCell ref="A1:F1"/>
  </mergeCells>
  <dataValidations count="1">
    <dataValidation type="list" allowBlank="1" showInputMessage="1" showErrorMessage="1" sqref="B4:B61" xr:uid="{B28B26CD-B12B-4868-B34E-225BCB73FEE5}">
      <formula1>Unites</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89C7-2D35-4191-9DC7-3B490D18D982}">
  <dimension ref="A1:F21"/>
  <sheetViews>
    <sheetView workbookViewId="0">
      <selection sqref="A1:D1"/>
    </sheetView>
  </sheetViews>
  <sheetFormatPr baseColWidth="10" defaultRowHeight="12.75" x14ac:dyDescent="0.2"/>
  <cols>
    <col min="1" max="4" width="22.42578125" customWidth="1"/>
  </cols>
  <sheetData>
    <row r="1" spans="1:6" ht="15" customHeight="1" x14ac:dyDescent="0.25">
      <c r="A1" s="56" t="s">
        <v>125</v>
      </c>
      <c r="B1" s="56"/>
      <c r="C1" s="56"/>
      <c r="D1" s="56"/>
      <c r="E1" s="25"/>
      <c r="F1" s="25"/>
    </row>
    <row r="2" spans="1:6" ht="15" customHeight="1" x14ac:dyDescent="0.2">
      <c r="A2" s="21"/>
      <c r="B2" s="21"/>
      <c r="C2" s="22"/>
      <c r="D2" s="23"/>
      <c r="E2" s="24"/>
      <c r="F2" s="22"/>
    </row>
    <row r="3" spans="1:6" ht="15" customHeight="1" x14ac:dyDescent="0.2">
      <c r="A3" s="57" t="s">
        <v>133</v>
      </c>
      <c r="B3" s="58"/>
      <c r="C3" s="61">
        <f>NB</f>
        <v>1</v>
      </c>
      <c r="D3" s="62"/>
    </row>
    <row r="4" spans="1:6" ht="15" customHeight="1" x14ac:dyDescent="0.2">
      <c r="A4" s="57" t="s">
        <v>127</v>
      </c>
      <c r="B4" s="58"/>
      <c r="C4" s="59">
        <f>MA</f>
        <v>0.3</v>
      </c>
      <c r="D4" s="60"/>
    </row>
    <row r="5" spans="1:6" ht="15" customHeight="1" x14ac:dyDescent="0.2">
      <c r="A5" s="46"/>
      <c r="B5" s="46"/>
      <c r="C5" s="47"/>
      <c r="D5" s="47"/>
    </row>
    <row r="6" spans="1:6" ht="15" customHeight="1" x14ac:dyDescent="0.2">
      <c r="A6" s="57" t="str">
        <f>CONCATENATE("Coût de revient pour ",C3," produit(s)")</f>
        <v>Coût de revient pour 1 produit(s)</v>
      </c>
      <c r="B6" s="58"/>
      <c r="C6" s="63">
        <f>SUM(CP,MP,CO,FP,AD,LO,AU,TE)</f>
        <v>0</v>
      </c>
      <c r="D6" s="64"/>
    </row>
    <row r="7" spans="1:6" ht="15" customHeight="1" x14ac:dyDescent="0.2">
      <c r="A7" s="65" t="s">
        <v>128</v>
      </c>
      <c r="B7" s="65"/>
      <c r="C7" s="66">
        <f>C6/C3</f>
        <v>0</v>
      </c>
      <c r="D7" s="66"/>
    </row>
    <row r="8" spans="1:6" ht="15" customHeight="1" x14ac:dyDescent="0.2">
      <c r="A8" s="46"/>
      <c r="B8" s="46"/>
      <c r="C8" s="48"/>
      <c r="D8" s="48"/>
    </row>
    <row r="9" spans="1:6" ht="15" customHeight="1" x14ac:dyDescent="0.2">
      <c r="A9" s="65" t="str">
        <f>CONCATENATE("Prix idéal de ",C3," produit(s)")</f>
        <v>Prix idéal de 1 produit(s)</v>
      </c>
      <c r="B9" s="65"/>
      <c r="C9" s="66">
        <f>C6*(1+C4)</f>
        <v>0</v>
      </c>
      <c r="D9" s="66"/>
    </row>
    <row r="10" spans="1:6" ht="15" customHeight="1" x14ac:dyDescent="0.2">
      <c r="A10" s="67" t="s">
        <v>129</v>
      </c>
      <c r="B10" s="67"/>
      <c r="C10" s="68">
        <f>C7*(1+C4)</f>
        <v>0</v>
      </c>
      <c r="D10" s="68"/>
    </row>
    <row r="11" spans="1:6" ht="15" customHeight="1" x14ac:dyDescent="0.2">
      <c r="A11" s="46"/>
      <c r="B11" s="46"/>
      <c r="C11" s="48"/>
      <c r="D11" s="48"/>
    </row>
    <row r="12" spans="1:6" ht="15" customHeight="1" x14ac:dyDescent="0.2">
      <c r="A12" s="67" t="str">
        <f>CONCATENATE("Marge brute pour ",C3," produit(s) vendu(s)")</f>
        <v>Marge brute pour 1 produit(s) vendu(s)</v>
      </c>
      <c r="B12" s="67"/>
      <c r="C12" s="68">
        <f>C9-C6</f>
        <v>0</v>
      </c>
      <c r="D12" s="68"/>
    </row>
    <row r="13" spans="1:6" ht="15" customHeight="1" x14ac:dyDescent="0.2">
      <c r="A13" s="67" t="s">
        <v>130</v>
      </c>
      <c r="B13" s="67"/>
      <c r="C13" s="68">
        <f>C10-C7</f>
        <v>0</v>
      </c>
      <c r="D13" s="68"/>
    </row>
    <row r="14" spans="1:6" ht="15" customHeight="1" x14ac:dyDescent="0.2"/>
    <row r="15" spans="1:6" ht="15" customHeight="1" x14ac:dyDescent="0.2"/>
    <row r="16" spans="1:6" ht="15" customHeight="1" x14ac:dyDescent="0.2"/>
    <row r="17" ht="15" customHeight="1" x14ac:dyDescent="0.2"/>
    <row r="18" ht="15" customHeight="1" x14ac:dyDescent="0.2"/>
    <row r="19" ht="15" customHeight="1" x14ac:dyDescent="0.2"/>
    <row r="20" ht="15" customHeight="1" x14ac:dyDescent="0.2"/>
    <row r="21" ht="15" customHeight="1" x14ac:dyDescent="0.2"/>
  </sheetData>
  <sheetProtection algorithmName="SHA-512" hashValue="YspSIjlAkBk9Gun0aRIQZihAPHa1QaB4vevMGmSgWoo4NSSY2OrblDtnDhMlX7d0Cdpt0xSYUIq6TR17/VX+sQ==" saltValue="qkzFcBhL8wCKgUjUnf6LDw==" spinCount="100000" sheet="1" objects="1" scenarios="1" selectLockedCells="1"/>
  <mergeCells count="17">
    <mergeCell ref="A10:B10"/>
    <mergeCell ref="C10:D10"/>
    <mergeCell ref="A12:B12"/>
    <mergeCell ref="C12:D12"/>
    <mergeCell ref="A13:B13"/>
    <mergeCell ref="C13:D13"/>
    <mergeCell ref="A6:B6"/>
    <mergeCell ref="C6:D6"/>
    <mergeCell ref="A7:B7"/>
    <mergeCell ref="C7:D7"/>
    <mergeCell ref="A9:B9"/>
    <mergeCell ref="C9:D9"/>
    <mergeCell ref="A4:B4"/>
    <mergeCell ref="C4:D4"/>
    <mergeCell ref="A1:D1"/>
    <mergeCell ref="A3:B3"/>
    <mergeCell ref="C3:D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8B6D8-88DF-4CB8-98F5-BAF743D45BCD}">
  <dimension ref="A1:A100"/>
  <sheetViews>
    <sheetView workbookViewId="0">
      <selection activeCell="A80" sqref="A80"/>
    </sheetView>
  </sheetViews>
  <sheetFormatPr baseColWidth="10" defaultRowHeight="11.25" x14ac:dyDescent="0.2"/>
  <cols>
    <col min="1" max="1" width="22" style="7" bestFit="1" customWidth="1"/>
    <col min="2" max="16384" width="11.42578125" style="7"/>
  </cols>
  <sheetData>
    <row r="1" spans="1:1" x14ac:dyDescent="0.2">
      <c r="A1" s="26" t="s">
        <v>121</v>
      </c>
    </row>
    <row r="2" spans="1:1" x14ac:dyDescent="0.2">
      <c r="A2" s="7" t="s">
        <v>62</v>
      </c>
    </row>
    <row r="3" spans="1:1" x14ac:dyDescent="0.2">
      <c r="A3" s="7" t="s">
        <v>63</v>
      </c>
    </row>
    <row r="4" spans="1:1" x14ac:dyDescent="0.2">
      <c r="A4" s="7" t="s">
        <v>64</v>
      </c>
    </row>
    <row r="5" spans="1:1" x14ac:dyDescent="0.2">
      <c r="A5" s="7" t="s">
        <v>65</v>
      </c>
    </row>
    <row r="6" spans="1:1" x14ac:dyDescent="0.2">
      <c r="A6" s="7" t="s">
        <v>66</v>
      </c>
    </row>
    <row r="7" spans="1:1" x14ac:dyDescent="0.2">
      <c r="A7" s="7" t="s">
        <v>67</v>
      </c>
    </row>
    <row r="8" spans="1:1" x14ac:dyDescent="0.2">
      <c r="A8" s="7" t="s">
        <v>68</v>
      </c>
    </row>
    <row r="9" spans="1:1" x14ac:dyDescent="0.2">
      <c r="A9" s="7" t="s">
        <v>69</v>
      </c>
    </row>
    <row r="10" spans="1:1" x14ac:dyDescent="0.2">
      <c r="A10" s="7" t="s">
        <v>70</v>
      </c>
    </row>
    <row r="11" spans="1:1" x14ac:dyDescent="0.2">
      <c r="A11" s="7" t="s">
        <v>71</v>
      </c>
    </row>
    <row r="12" spans="1:1" x14ac:dyDescent="0.2">
      <c r="A12" s="7" t="s">
        <v>72</v>
      </c>
    </row>
    <row r="13" spans="1:1" x14ac:dyDescent="0.2">
      <c r="A13" s="7" t="s">
        <v>73</v>
      </c>
    </row>
    <row r="14" spans="1:1" x14ac:dyDescent="0.2">
      <c r="A14" s="7" t="s">
        <v>74</v>
      </c>
    </row>
    <row r="15" spans="1:1" x14ac:dyDescent="0.2">
      <c r="A15" s="7" t="s">
        <v>75</v>
      </c>
    </row>
    <row r="16" spans="1:1" x14ac:dyDescent="0.2">
      <c r="A16" s="7" t="s">
        <v>76</v>
      </c>
    </row>
    <row r="17" spans="1:1" x14ac:dyDescent="0.2">
      <c r="A17" s="7" t="s">
        <v>77</v>
      </c>
    </row>
    <row r="18" spans="1:1" x14ac:dyDescent="0.2">
      <c r="A18" s="7" t="s">
        <v>78</v>
      </c>
    </row>
    <row r="19" spans="1:1" x14ac:dyDescent="0.2">
      <c r="A19" s="7" t="s">
        <v>79</v>
      </c>
    </row>
    <row r="20" spans="1:1" x14ac:dyDescent="0.2">
      <c r="A20" s="7" t="s">
        <v>80</v>
      </c>
    </row>
    <row r="21" spans="1:1" x14ac:dyDescent="0.2">
      <c r="A21" s="7" t="s">
        <v>81</v>
      </c>
    </row>
    <row r="22" spans="1:1" x14ac:dyDescent="0.2">
      <c r="A22" s="7" t="s">
        <v>82</v>
      </c>
    </row>
    <row r="23" spans="1:1" x14ac:dyDescent="0.2">
      <c r="A23" s="7" t="s">
        <v>83</v>
      </c>
    </row>
    <row r="24" spans="1:1" x14ac:dyDescent="0.2">
      <c r="A24" s="7" t="s">
        <v>84</v>
      </c>
    </row>
    <row r="25" spans="1:1" x14ac:dyDescent="0.2">
      <c r="A25" s="7" t="s">
        <v>85</v>
      </c>
    </row>
    <row r="26" spans="1:1" x14ac:dyDescent="0.2">
      <c r="A26" s="7" t="s">
        <v>86</v>
      </c>
    </row>
    <row r="27" spans="1:1" x14ac:dyDescent="0.2">
      <c r="A27" s="7" t="s">
        <v>87</v>
      </c>
    </row>
    <row r="28" spans="1:1" x14ac:dyDescent="0.2">
      <c r="A28" s="7" t="s">
        <v>88</v>
      </c>
    </row>
    <row r="29" spans="1:1" x14ac:dyDescent="0.2">
      <c r="A29" s="7" t="s">
        <v>89</v>
      </c>
    </row>
    <row r="30" spans="1:1" x14ac:dyDescent="0.2">
      <c r="A30" s="7" t="s">
        <v>90</v>
      </c>
    </row>
    <row r="31" spans="1:1" x14ac:dyDescent="0.2">
      <c r="A31" s="7" t="s">
        <v>91</v>
      </c>
    </row>
    <row r="32" spans="1:1" x14ac:dyDescent="0.2">
      <c r="A32" s="7" t="s">
        <v>92</v>
      </c>
    </row>
    <row r="33" spans="1:1" x14ac:dyDescent="0.2">
      <c r="A33" s="7" t="s">
        <v>93</v>
      </c>
    </row>
    <row r="34" spans="1:1" x14ac:dyDescent="0.2">
      <c r="A34" s="7" t="s">
        <v>94</v>
      </c>
    </row>
    <row r="35" spans="1:1" x14ac:dyDescent="0.2">
      <c r="A35" s="7" t="s">
        <v>95</v>
      </c>
    </row>
    <row r="36" spans="1:1" x14ac:dyDescent="0.2">
      <c r="A36" s="7" t="s">
        <v>96</v>
      </c>
    </row>
    <row r="37" spans="1:1" x14ac:dyDescent="0.2">
      <c r="A37" s="7" t="s">
        <v>97</v>
      </c>
    </row>
    <row r="38" spans="1:1" x14ac:dyDescent="0.2">
      <c r="A38" s="7" t="s">
        <v>98</v>
      </c>
    </row>
    <row r="39" spans="1:1" x14ac:dyDescent="0.2">
      <c r="A39" s="7" t="s">
        <v>99</v>
      </c>
    </row>
    <row r="40" spans="1:1" x14ac:dyDescent="0.2">
      <c r="A40" s="7" t="s">
        <v>100</v>
      </c>
    </row>
    <row r="41" spans="1:1" x14ac:dyDescent="0.2">
      <c r="A41" s="7" t="s">
        <v>101</v>
      </c>
    </row>
    <row r="42" spans="1:1" x14ac:dyDescent="0.2">
      <c r="A42" s="7" t="s">
        <v>102</v>
      </c>
    </row>
    <row r="43" spans="1:1" x14ac:dyDescent="0.2">
      <c r="A43" s="7" t="s">
        <v>103</v>
      </c>
    </row>
    <row r="44" spans="1:1" x14ac:dyDescent="0.2">
      <c r="A44" s="7" t="s">
        <v>104</v>
      </c>
    </row>
    <row r="45" spans="1:1" x14ac:dyDescent="0.2">
      <c r="A45" s="7" t="s">
        <v>105</v>
      </c>
    </row>
    <row r="46" spans="1:1" x14ac:dyDescent="0.2">
      <c r="A46" s="7" t="s">
        <v>106</v>
      </c>
    </row>
    <row r="47" spans="1:1" x14ac:dyDescent="0.2">
      <c r="A47" s="7" t="s">
        <v>107</v>
      </c>
    </row>
    <row r="48" spans="1:1" x14ac:dyDescent="0.2">
      <c r="A48" s="7" t="s">
        <v>108</v>
      </c>
    </row>
    <row r="49" spans="1:1" x14ac:dyDescent="0.2">
      <c r="A49" s="7" t="s">
        <v>109</v>
      </c>
    </row>
    <row r="50" spans="1:1" x14ac:dyDescent="0.2">
      <c r="A50" s="7" t="s">
        <v>110</v>
      </c>
    </row>
    <row r="51" spans="1:1" x14ac:dyDescent="0.2">
      <c r="A51" s="7" t="s">
        <v>111</v>
      </c>
    </row>
    <row r="52" spans="1:1" x14ac:dyDescent="0.2">
      <c r="A52" s="7" t="s">
        <v>112</v>
      </c>
    </row>
    <row r="53" spans="1:1" x14ac:dyDescent="0.2">
      <c r="A53" s="7" t="s">
        <v>113</v>
      </c>
    </row>
    <row r="54" spans="1:1" x14ac:dyDescent="0.2">
      <c r="A54" s="7" t="s">
        <v>114</v>
      </c>
    </row>
    <row r="55" spans="1:1" x14ac:dyDescent="0.2">
      <c r="A55" s="7" t="s">
        <v>115</v>
      </c>
    </row>
    <row r="56" spans="1:1" x14ac:dyDescent="0.2">
      <c r="A56" s="7" t="s">
        <v>116</v>
      </c>
    </row>
    <row r="57" spans="1:1" x14ac:dyDescent="0.2">
      <c r="A57" s="7" t="s">
        <v>117</v>
      </c>
    </row>
    <row r="58" spans="1:1" x14ac:dyDescent="0.2">
      <c r="A58" s="7" t="s">
        <v>118</v>
      </c>
    </row>
    <row r="59" spans="1:1" x14ac:dyDescent="0.2">
      <c r="A59" s="7" t="s">
        <v>119</v>
      </c>
    </row>
    <row r="60" spans="1:1" x14ac:dyDescent="0.2">
      <c r="A60" s="7" t="s">
        <v>120</v>
      </c>
    </row>
    <row r="61" spans="1:1" x14ac:dyDescent="0.2">
      <c r="A61" s="50"/>
    </row>
    <row r="62" spans="1:1" x14ac:dyDescent="0.2">
      <c r="A62" s="50"/>
    </row>
    <row r="63" spans="1:1" x14ac:dyDescent="0.2">
      <c r="A63" s="50"/>
    </row>
    <row r="64" spans="1:1" x14ac:dyDescent="0.2">
      <c r="A64" s="50"/>
    </row>
    <row r="65" spans="1:1" x14ac:dyDescent="0.2">
      <c r="A65" s="50"/>
    </row>
    <row r="66" spans="1:1" x14ac:dyDescent="0.2">
      <c r="A66" s="50"/>
    </row>
    <row r="67" spans="1:1" x14ac:dyDescent="0.2">
      <c r="A67" s="50"/>
    </row>
    <row r="68" spans="1:1" x14ac:dyDescent="0.2">
      <c r="A68" s="50"/>
    </row>
    <row r="69" spans="1:1" x14ac:dyDescent="0.2">
      <c r="A69" s="50"/>
    </row>
    <row r="70" spans="1:1" x14ac:dyDescent="0.2">
      <c r="A70" s="50"/>
    </row>
    <row r="71" spans="1:1" x14ac:dyDescent="0.2">
      <c r="A71" s="50"/>
    </row>
    <row r="72" spans="1:1" x14ac:dyDescent="0.2">
      <c r="A72" s="50"/>
    </row>
    <row r="73" spans="1:1" x14ac:dyDescent="0.2">
      <c r="A73" s="50"/>
    </row>
    <row r="74" spans="1:1" x14ac:dyDescent="0.2">
      <c r="A74" s="50"/>
    </row>
    <row r="75" spans="1:1" x14ac:dyDescent="0.2">
      <c r="A75" s="50"/>
    </row>
    <row r="76" spans="1:1" x14ac:dyDescent="0.2">
      <c r="A76" s="50"/>
    </row>
    <row r="77" spans="1:1" x14ac:dyDescent="0.2">
      <c r="A77" s="50"/>
    </row>
    <row r="78" spans="1:1" x14ac:dyDescent="0.2">
      <c r="A78" s="50"/>
    </row>
    <row r="79" spans="1:1" x14ac:dyDescent="0.2">
      <c r="A79" s="50"/>
    </row>
    <row r="80" spans="1:1" x14ac:dyDescent="0.2">
      <c r="A80" s="50"/>
    </row>
    <row r="81" spans="1:1" x14ac:dyDescent="0.2">
      <c r="A81" s="50"/>
    </row>
    <row r="82" spans="1:1" x14ac:dyDescent="0.2">
      <c r="A82" s="50"/>
    </row>
    <row r="83" spans="1:1" x14ac:dyDescent="0.2">
      <c r="A83" s="50"/>
    </row>
    <row r="84" spans="1:1" x14ac:dyDescent="0.2">
      <c r="A84" s="50"/>
    </row>
    <row r="85" spans="1:1" x14ac:dyDescent="0.2">
      <c r="A85" s="50"/>
    </row>
    <row r="86" spans="1:1" x14ac:dyDescent="0.2">
      <c r="A86" s="50"/>
    </row>
    <row r="87" spans="1:1" x14ac:dyDescent="0.2">
      <c r="A87" s="50"/>
    </row>
    <row r="88" spans="1:1" x14ac:dyDescent="0.2">
      <c r="A88" s="50"/>
    </row>
    <row r="89" spans="1:1" x14ac:dyDescent="0.2">
      <c r="A89" s="50"/>
    </row>
    <row r="90" spans="1:1" x14ac:dyDescent="0.2">
      <c r="A90" s="50"/>
    </row>
    <row r="91" spans="1:1" x14ac:dyDescent="0.2">
      <c r="A91" s="50"/>
    </row>
    <row r="92" spans="1:1" x14ac:dyDescent="0.2">
      <c r="A92" s="50"/>
    </row>
    <row r="93" spans="1:1" x14ac:dyDescent="0.2">
      <c r="A93" s="50"/>
    </row>
    <row r="94" spans="1:1" x14ac:dyDescent="0.2">
      <c r="A94" s="50"/>
    </row>
    <row r="95" spans="1:1" x14ac:dyDescent="0.2">
      <c r="A95" s="50"/>
    </row>
    <row r="96" spans="1:1" x14ac:dyDescent="0.2">
      <c r="A96" s="50"/>
    </row>
    <row r="97" spans="1:1" x14ac:dyDescent="0.2">
      <c r="A97" s="50"/>
    </row>
    <row r="98" spans="1:1" x14ac:dyDescent="0.2">
      <c r="A98" s="50"/>
    </row>
    <row r="99" spans="1:1" x14ac:dyDescent="0.2">
      <c r="A99" s="50"/>
    </row>
    <row r="100" spans="1:1" x14ac:dyDescent="0.2">
      <c r="A100" s="50"/>
    </row>
  </sheetData>
  <sheetProtection algorithmName="SHA-512" hashValue="rikMfqdwyHDij0l3jjP0XrZHyxUGkyN2jpHDMICewnwOggIELW6zZrGr9hvrJ3++3RULmuWTkPaetBQz6l+Ndw==" saltValue="0mAMucfXkvR/FfFaL9ITVg==" spinCount="100000"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201</TotalTime>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11</vt:i4>
      </vt:variant>
    </vt:vector>
  </HeadingPairs>
  <TitlesOfParts>
    <vt:vector size="22" baseType="lpstr">
      <vt:lpstr>Calcul du prix idéal</vt:lpstr>
      <vt:lpstr>Matières premières</vt:lpstr>
      <vt:lpstr>Coût de production</vt:lpstr>
      <vt:lpstr>Frais de personnel</vt:lpstr>
      <vt:lpstr>Communication</vt:lpstr>
      <vt:lpstr>Administratif</vt:lpstr>
      <vt:lpstr>Logistique</vt:lpstr>
      <vt:lpstr>Temps</vt:lpstr>
      <vt:lpstr>Autres</vt:lpstr>
      <vt:lpstr>Bilan</vt:lpstr>
      <vt:lpstr>Unités</vt:lpstr>
      <vt:lpstr>AD</vt:lpstr>
      <vt:lpstr>AU</vt:lpstr>
      <vt:lpstr>CO</vt:lpstr>
      <vt:lpstr>CP</vt:lpstr>
      <vt:lpstr>FP</vt:lpstr>
      <vt:lpstr>LO</vt:lpstr>
      <vt:lpstr>MA</vt:lpstr>
      <vt:lpstr>MP</vt:lpstr>
      <vt:lpstr>NB</vt:lpstr>
      <vt:lpstr>TE</vt:lpstr>
      <vt:lpstr>Unites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UltraBook 3.0</cp:lastModifiedBy>
  <cp:revision>23</cp:revision>
  <cp:lastPrinted>2025-07-31T17:34:12Z</cp:lastPrinted>
  <dcterms:created xsi:type="dcterms:W3CDTF">2025-07-25T03:43:21Z</dcterms:created>
  <dcterms:modified xsi:type="dcterms:W3CDTF">2026-03-09T23:41:55Z</dcterms:modified>
  <dc:language>fr-FR</dc:language>
</cp:coreProperties>
</file>